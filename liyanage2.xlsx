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790EF27-292A-489B-98CB-3A44E76782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4" sheetId="5" r:id="rId2"/>
    <sheet name="Sheet5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37" i="1" l="1"/>
  <c r="F3746" i="1"/>
  <c r="F3745" i="1"/>
  <c r="F3744" i="1"/>
  <c r="F3743" i="1"/>
  <c r="F3742" i="1"/>
  <c r="F3741" i="1"/>
  <c r="F3740" i="1"/>
  <c r="F3739" i="1"/>
  <c r="F3738" i="1"/>
  <c r="F3698" i="1"/>
  <c r="F3702" i="1"/>
  <c r="F3703" i="1"/>
  <c r="F3704" i="1"/>
  <c r="F3705" i="1"/>
  <c r="F3706" i="1"/>
  <c r="F3707" i="1"/>
  <c r="F3708" i="1"/>
  <c r="F3709" i="1"/>
  <c r="F3710" i="1"/>
  <c r="F3701" i="1"/>
  <c r="H3678" i="1"/>
  <c r="H3677" i="1"/>
  <c r="H3676" i="1"/>
  <c r="F3676" i="1"/>
  <c r="H3675" i="1"/>
  <c r="F3675" i="1"/>
  <c r="H3674" i="1"/>
  <c r="F3674" i="1"/>
  <c r="H3672" i="1"/>
  <c r="H3671" i="1"/>
  <c r="F3671" i="1"/>
  <c r="H3670" i="1"/>
  <c r="F3670" i="1"/>
  <c r="H3669" i="1"/>
  <c r="F3669" i="1"/>
  <c r="H3667" i="1"/>
  <c r="F3667" i="1"/>
  <c r="H3666" i="1"/>
  <c r="H3665" i="1"/>
  <c r="F3665" i="1"/>
  <c r="H3664" i="1"/>
  <c r="F3664" i="1"/>
  <c r="H3663" i="1"/>
  <c r="F3663" i="1"/>
  <c r="H3662" i="1"/>
  <c r="F3662" i="1"/>
  <c r="H3660" i="1"/>
  <c r="F3660" i="1"/>
  <c r="H3658" i="1"/>
  <c r="F3658" i="1"/>
  <c r="H3657" i="1"/>
  <c r="F3657" i="1"/>
  <c r="H3656" i="1"/>
  <c r="F3656" i="1"/>
  <c r="H3655" i="1"/>
  <c r="F3655" i="1"/>
  <c r="H3653" i="1"/>
  <c r="F3653" i="1"/>
  <c r="H3652" i="1"/>
  <c r="F3652" i="1"/>
  <c r="H3651" i="1"/>
  <c r="F3651" i="1"/>
  <c r="H3650" i="1"/>
  <c r="F3650" i="1"/>
  <c r="H3649" i="1"/>
  <c r="F3649" i="1"/>
  <c r="H3647" i="1"/>
  <c r="F3647" i="1"/>
  <c r="H3646" i="1"/>
  <c r="F3646" i="1"/>
  <c r="H3645" i="1"/>
  <c r="F3645" i="1"/>
  <c r="H3644" i="1"/>
  <c r="F3644" i="1"/>
  <c r="F2117" i="1"/>
  <c r="F2116" i="1"/>
  <c r="F2105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089" i="1"/>
  <c r="F3618" i="1"/>
  <c r="F3617" i="1"/>
  <c r="F3616" i="1"/>
  <c r="F3615" i="1"/>
  <c r="F3614" i="1"/>
  <c r="F3613" i="1"/>
  <c r="F3612" i="1"/>
  <c r="F3611" i="1"/>
  <c r="F3610" i="1"/>
  <c r="F3609" i="1"/>
  <c r="F3608" i="1"/>
  <c r="F3606" i="1"/>
  <c r="F3605" i="1"/>
  <c r="F3604" i="1"/>
  <c r="F3603" i="1"/>
  <c r="F3572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492" i="1"/>
  <c r="F3491" i="1"/>
  <c r="F3490" i="1"/>
  <c r="F3489" i="1"/>
  <c r="F3488" i="1"/>
  <c r="F3487" i="1"/>
  <c r="F3486" i="1"/>
  <c r="F3485" i="1"/>
  <c r="H3475" i="1"/>
  <c r="E3475" i="1" s="1"/>
  <c r="F3475" i="1" s="1"/>
  <c r="H3474" i="1"/>
  <c r="E3474" i="1" s="1"/>
  <c r="F3474" i="1" s="1"/>
  <c r="H3473" i="1"/>
  <c r="E3473" i="1" s="1"/>
  <c r="F3473" i="1" s="1"/>
  <c r="H3472" i="1"/>
  <c r="E3472" i="1" s="1"/>
  <c r="F3472" i="1" s="1"/>
  <c r="H3471" i="1"/>
  <c r="E3471" i="1" s="1"/>
  <c r="F3471" i="1" s="1"/>
  <c r="H3470" i="1"/>
  <c r="E3470" i="1" s="1"/>
  <c r="F3470" i="1" s="1"/>
  <c r="H3469" i="1"/>
  <c r="E3469" i="1" s="1"/>
  <c r="F3469" i="1" s="1"/>
  <c r="H3468" i="1"/>
  <c r="E3468" i="1" s="1"/>
  <c r="F3468" i="1" s="1"/>
  <c r="H3467" i="1"/>
  <c r="E3467" i="1" s="1"/>
  <c r="F3467" i="1" s="1"/>
  <c r="H3466" i="1"/>
  <c r="E3466" i="1" s="1"/>
  <c r="F3466" i="1" s="1"/>
  <c r="H3465" i="1"/>
  <c r="E3465" i="1" s="1"/>
  <c r="F3465" i="1" s="1"/>
  <c r="H3464" i="1"/>
  <c r="E3464" i="1" s="1"/>
  <c r="F3464" i="1" s="1"/>
  <c r="H3463" i="1"/>
  <c r="E3463" i="1" s="1"/>
  <c r="F3463" i="1" s="1"/>
  <c r="H3462" i="1"/>
  <c r="E3462" i="1" s="1"/>
  <c r="F3462" i="1" s="1"/>
  <c r="F3338" i="1"/>
  <c r="F3339" i="1"/>
  <c r="F3340" i="1"/>
  <c r="F3341" i="1"/>
  <c r="F3342" i="1"/>
  <c r="F3337" i="1"/>
  <c r="F3236" i="1"/>
  <c r="F3235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2" i="1"/>
  <c r="F3210" i="1"/>
  <c r="F3209" i="1"/>
  <c r="F3208" i="1"/>
  <c r="F3207" i="1"/>
  <c r="F3206" i="1"/>
  <c r="F3205" i="1"/>
  <c r="F3204" i="1"/>
  <c r="F3203" i="1"/>
  <c r="F3202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3" i="1"/>
  <c r="F3162" i="1"/>
  <c r="F3161" i="1"/>
  <c r="F3160" i="1"/>
  <c r="F3159" i="1"/>
  <c r="F3158" i="1"/>
  <c r="F3156" i="1"/>
  <c r="F3155" i="1"/>
  <c r="F315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28" i="1"/>
  <c r="F3027" i="1"/>
  <c r="F3008" i="1"/>
  <c r="F3007" i="1"/>
  <c r="F3006" i="1"/>
  <c r="F3005" i="1"/>
  <c r="F3001" i="1"/>
  <c r="F3000" i="1"/>
  <c r="F2998" i="1"/>
  <c r="F2997" i="1"/>
  <c r="F2996" i="1"/>
  <c r="F2995" i="1"/>
  <c r="F2838" i="1"/>
  <c r="F2837" i="1"/>
  <c r="F2836" i="1"/>
  <c r="F2835" i="1"/>
  <c r="F2834" i="1"/>
  <c r="F2833" i="1"/>
  <c r="F2831" i="1"/>
  <c r="F2830" i="1"/>
  <c r="F2829" i="1"/>
  <c r="F2828" i="1"/>
  <c r="F2827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08" i="1"/>
  <c r="F2807" i="1"/>
  <c r="F2806" i="1"/>
  <c r="F2805" i="1"/>
  <c r="F2804" i="1"/>
  <c r="F2803" i="1"/>
  <c r="F2802" i="1"/>
  <c r="F2801" i="1"/>
  <c r="F2800" i="1"/>
  <c r="F2773" i="1"/>
  <c r="F2772" i="1"/>
  <c r="F2771" i="1"/>
  <c r="F2770" i="1"/>
  <c r="F2769" i="1"/>
  <c r="F2768" i="1"/>
  <c r="F2767" i="1"/>
  <c r="H2680" i="1"/>
  <c r="F2680" i="1"/>
  <c r="H2679" i="1"/>
  <c r="F2679" i="1"/>
  <c r="H2678" i="1"/>
  <c r="F2678" i="1"/>
  <c r="H2677" i="1"/>
  <c r="F2677" i="1"/>
  <c r="H2676" i="1"/>
  <c r="F2676" i="1"/>
  <c r="H2675" i="1"/>
  <c r="E2675" i="1"/>
  <c r="F2675" i="1" s="1"/>
  <c r="H2674" i="1"/>
  <c r="E2674" i="1"/>
  <c r="F2674" i="1" s="1"/>
  <c r="H2673" i="1"/>
  <c r="E2673" i="1"/>
  <c r="F2673" i="1" s="1"/>
  <c r="H2672" i="1"/>
  <c r="E2672" i="1"/>
  <c r="F2672" i="1" s="1"/>
  <c r="H2671" i="1"/>
  <c r="E2671" i="1"/>
  <c r="F2671" i="1" s="1"/>
  <c r="H2670" i="1"/>
  <c r="E2670" i="1"/>
  <c r="F2670" i="1" s="1"/>
  <c r="H2669" i="1"/>
  <c r="E2669" i="1"/>
  <c r="F2669" i="1" s="1"/>
  <c r="H2668" i="1"/>
  <c r="E2668" i="1"/>
  <c r="F2668" i="1" s="1"/>
  <c r="H2667" i="1"/>
  <c r="E2667" i="1"/>
  <c r="F2667" i="1" s="1"/>
  <c r="H2666" i="1"/>
  <c r="E2666" i="1"/>
  <c r="F2666" i="1" s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5" i="1"/>
  <c r="G2514" i="1"/>
  <c r="F2514" i="1"/>
  <c r="G2513" i="1"/>
  <c r="F2513" i="1"/>
  <c r="G2512" i="1"/>
  <c r="F2512" i="1"/>
  <c r="G2511" i="1"/>
  <c r="F2511" i="1"/>
  <c r="G2510" i="1"/>
  <c r="F2510" i="1"/>
  <c r="G2509" i="1"/>
  <c r="F2509" i="1"/>
  <c r="G2508" i="1"/>
  <c r="F2508" i="1"/>
  <c r="G2507" i="1"/>
  <c r="F2507" i="1"/>
  <c r="G2506" i="1"/>
  <c r="F2506" i="1"/>
  <c r="G2505" i="1"/>
  <c r="F2505" i="1"/>
  <c r="G2504" i="1"/>
  <c r="F2504" i="1"/>
  <c r="G2503" i="1"/>
  <c r="F2503" i="1"/>
  <c r="G2502" i="1"/>
  <c r="F2502" i="1"/>
  <c r="G2501" i="1"/>
  <c r="F2501" i="1"/>
  <c r="G2500" i="1"/>
  <c r="F2500" i="1"/>
  <c r="G2499" i="1"/>
  <c r="F2499" i="1"/>
  <c r="G2498" i="1"/>
  <c r="F2498" i="1"/>
  <c r="G2497" i="1"/>
  <c r="F2497" i="1"/>
  <c r="G2496" i="1"/>
  <c r="F2496" i="1"/>
  <c r="G2495" i="1"/>
  <c r="F2495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12" i="1"/>
  <c r="F2411" i="1"/>
  <c r="F2410" i="1"/>
  <c r="F2409" i="1"/>
  <c r="F2408" i="1"/>
  <c r="F2407" i="1"/>
  <c r="F2405" i="1"/>
  <c r="F2404" i="1"/>
  <c r="F2403" i="1"/>
  <c r="F2402" i="1"/>
  <c r="F2400" i="1"/>
  <c r="F2399" i="1"/>
  <c r="F2398" i="1"/>
  <c r="F2397" i="1"/>
  <c r="F2396" i="1"/>
  <c r="F2394" i="1"/>
  <c r="F2393" i="1"/>
  <c r="F2390" i="1"/>
  <c r="F2389" i="1"/>
  <c r="F2388" i="1"/>
  <c r="F2386" i="1"/>
  <c r="F2385" i="1"/>
  <c r="F2384" i="1"/>
  <c r="F2383" i="1"/>
  <c r="F2381" i="1"/>
  <c r="F2380" i="1"/>
  <c r="F2379" i="1"/>
  <c r="F2377" i="1"/>
  <c r="F2376" i="1"/>
  <c r="F2375" i="1"/>
  <c r="F2374" i="1"/>
  <c r="F2373" i="1"/>
  <c r="F2372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H2247" i="1"/>
  <c r="F2247" i="1"/>
  <c r="H2246" i="1"/>
  <c r="F2246" i="1"/>
  <c r="H2245" i="1"/>
  <c r="F2245" i="1"/>
  <c r="H2244" i="1"/>
  <c r="F2244" i="1"/>
  <c r="H2243" i="1"/>
  <c r="F2243" i="1"/>
  <c r="H2242" i="1"/>
  <c r="F2242" i="1"/>
  <c r="H2241" i="1"/>
  <c r="F2241" i="1"/>
  <c r="H2240" i="1"/>
  <c r="F2240" i="1"/>
  <c r="H2239" i="1"/>
  <c r="F2239" i="1"/>
  <c r="H2238" i="1"/>
  <c r="F2238" i="1"/>
  <c r="H2237" i="1"/>
  <c r="F2237" i="1"/>
  <c r="H2236" i="1"/>
  <c r="F2236" i="1"/>
  <c r="H2235" i="1"/>
  <c r="F2235" i="1"/>
  <c r="H2234" i="1"/>
  <c r="F2234" i="1"/>
  <c r="H2233" i="1"/>
  <c r="F2233" i="1"/>
  <c r="H2232" i="1"/>
  <c r="F2232" i="1"/>
  <c r="H2231" i="1"/>
  <c r="F2231" i="1"/>
  <c r="H2230" i="1"/>
  <c r="F2230" i="1"/>
  <c r="H2229" i="1"/>
  <c r="F2229" i="1"/>
  <c r="H2228" i="1"/>
  <c r="F2228" i="1"/>
  <c r="H2227" i="1"/>
  <c r="F2227" i="1"/>
  <c r="H2226" i="1"/>
  <c r="F2226" i="1"/>
  <c r="H2222" i="1"/>
  <c r="F2222" i="1"/>
  <c r="H2221" i="1"/>
  <c r="F2221" i="1"/>
  <c r="H2220" i="1"/>
  <c r="F2220" i="1"/>
  <c r="H2219" i="1"/>
  <c r="F2219" i="1"/>
  <c r="H2218" i="1"/>
  <c r="F2218" i="1"/>
  <c r="H2217" i="1"/>
  <c r="F2217" i="1"/>
  <c r="H2216" i="1"/>
  <c r="F2216" i="1"/>
  <c r="H2215" i="1"/>
  <c r="F2215" i="1"/>
  <c r="H2214" i="1"/>
  <c r="F2214" i="1"/>
  <c r="H2213" i="1"/>
  <c r="F2213" i="1"/>
  <c r="H2212" i="1"/>
  <c r="F2212" i="1"/>
  <c r="H2211" i="1"/>
  <c r="F2211" i="1"/>
  <c r="H2210" i="1"/>
  <c r="F2210" i="1"/>
  <c r="H2209" i="1"/>
  <c r="F2209" i="1"/>
  <c r="H2208" i="1"/>
  <c r="F2208" i="1"/>
  <c r="H2207" i="1"/>
  <c r="F2207" i="1"/>
  <c r="H2206" i="1"/>
  <c r="F2206" i="1"/>
  <c r="H2205" i="1"/>
  <c r="F2205" i="1"/>
  <c r="H2204" i="1"/>
  <c r="H2203" i="1"/>
  <c r="F2203" i="1"/>
  <c r="H2202" i="1"/>
  <c r="H2201" i="1"/>
  <c r="F2201" i="1"/>
  <c r="H2200" i="1"/>
  <c r="H2199" i="1"/>
  <c r="F2199" i="1"/>
  <c r="H2198" i="1"/>
  <c r="H2197" i="1"/>
  <c r="F2197" i="1"/>
  <c r="F2195" i="1"/>
  <c r="F2194" i="1"/>
  <c r="F2193" i="1"/>
  <c r="F2192" i="1"/>
  <c r="H2190" i="1"/>
  <c r="F2190" i="1"/>
  <c r="H2189" i="1"/>
  <c r="F2189" i="1"/>
  <c r="H2188" i="1"/>
  <c r="F2188" i="1"/>
  <c r="H2187" i="1"/>
  <c r="F2187" i="1"/>
  <c r="H2185" i="1"/>
  <c r="F2185" i="1"/>
  <c r="H2184" i="1"/>
  <c r="F2184" i="1"/>
  <c r="H2183" i="1"/>
  <c r="F2183" i="1"/>
  <c r="H2182" i="1"/>
  <c r="F2182" i="1"/>
  <c r="H2180" i="1"/>
  <c r="F2180" i="1"/>
  <c r="H2179" i="1"/>
  <c r="F2179" i="1"/>
  <c r="H2178" i="1"/>
  <c r="F2178" i="1"/>
  <c r="H2177" i="1"/>
  <c r="F2177" i="1"/>
  <c r="H2176" i="1"/>
  <c r="F2176" i="1"/>
  <c r="H2175" i="1"/>
  <c r="F2175" i="1"/>
  <c r="H2174" i="1"/>
  <c r="F2174" i="1"/>
  <c r="H2173" i="1"/>
  <c r="F2173" i="1"/>
  <c r="H2172" i="1"/>
  <c r="F2172" i="1"/>
  <c r="H2171" i="1"/>
  <c r="F2171" i="1"/>
  <c r="H2170" i="1"/>
  <c r="F2170" i="1"/>
  <c r="H2169" i="1"/>
  <c r="F2169" i="1"/>
  <c r="H2168" i="1"/>
  <c r="F2168" i="1"/>
  <c r="H2160" i="1"/>
  <c r="F2160" i="1"/>
  <c r="H2159" i="1"/>
  <c r="F2159" i="1"/>
  <c r="H2158" i="1"/>
  <c r="F2158" i="1"/>
  <c r="H2156" i="1"/>
  <c r="F2156" i="1"/>
  <c r="H2155" i="1"/>
  <c r="F2155" i="1"/>
  <c r="H2154" i="1"/>
  <c r="F2154" i="1"/>
  <c r="H2153" i="1"/>
  <c r="F2153" i="1"/>
  <c r="H2152" i="1"/>
  <c r="F2152" i="1"/>
  <c r="H2151" i="1"/>
  <c r="F2151" i="1"/>
  <c r="H2150" i="1"/>
  <c r="F2150" i="1"/>
  <c r="H2149" i="1"/>
  <c r="F2149" i="1"/>
  <c r="H2148" i="1"/>
  <c r="F2148" i="1"/>
  <c r="H2147" i="1"/>
  <c r="F2147" i="1"/>
  <c r="H2146" i="1"/>
  <c r="F2146" i="1"/>
  <c r="H2145" i="1"/>
  <c r="F2145" i="1"/>
  <c r="H2144" i="1"/>
  <c r="F2144" i="1"/>
  <c r="H2143" i="1"/>
  <c r="F2143" i="1"/>
  <c r="H2142" i="1"/>
  <c r="F2142" i="1"/>
  <c r="H2125" i="1"/>
  <c r="H2124" i="1"/>
  <c r="H2123" i="1"/>
  <c r="H2122" i="1"/>
  <c r="H2121" i="1"/>
  <c r="H2120" i="1"/>
  <c r="H2119" i="1"/>
  <c r="G2117" i="1"/>
  <c r="G2116" i="1"/>
  <c r="H2116" i="1" s="1"/>
  <c r="H2115" i="1"/>
  <c r="H2114" i="1"/>
  <c r="H2112" i="1"/>
  <c r="H2111" i="1"/>
  <c r="H2110" i="1"/>
  <c r="H2108" i="1"/>
  <c r="H2107" i="1"/>
  <c r="H2106" i="1"/>
  <c r="G2105" i="1"/>
  <c r="H2105" i="1" s="1"/>
  <c r="H2104" i="1"/>
  <c r="F2075" i="1"/>
  <c r="F2076" i="1"/>
  <c r="F2078" i="1"/>
  <c r="F2081" i="1"/>
  <c r="F2082" i="1"/>
  <c r="F2083" i="1"/>
  <c r="F2084" i="1"/>
  <c r="F2085" i="1"/>
  <c r="F2086" i="1"/>
  <c r="F2074" i="1"/>
  <c r="F16" i="5"/>
  <c r="F21" i="5"/>
  <c r="F22" i="5"/>
  <c r="F23" i="5"/>
  <c r="F27" i="5"/>
  <c r="F28" i="5"/>
  <c r="F29" i="5"/>
  <c r="F20" i="5"/>
  <c r="H1998" i="1"/>
  <c r="F1998" i="1"/>
  <c r="H1997" i="1"/>
  <c r="F1997" i="1"/>
  <c r="H1996" i="1"/>
  <c r="F1996" i="1"/>
  <c r="H1995" i="1"/>
  <c r="F1995" i="1"/>
  <c r="H1994" i="1"/>
  <c r="F1994" i="1"/>
  <c r="H1993" i="1"/>
  <c r="F1993" i="1"/>
  <c r="H1992" i="1"/>
  <c r="F1992" i="1"/>
  <c r="H1991" i="1"/>
  <c r="F1991" i="1"/>
  <c r="H1990" i="1"/>
  <c r="F1990" i="1"/>
  <c r="H1989" i="1"/>
  <c r="F1989" i="1"/>
  <c r="H1988" i="1"/>
  <c r="F1988" i="1"/>
  <c r="H1987" i="1"/>
  <c r="F1987" i="1"/>
  <c r="H1986" i="1"/>
  <c r="F1986" i="1"/>
  <c r="H1985" i="1"/>
  <c r="F1985" i="1"/>
  <c r="H1984" i="1"/>
  <c r="F1984" i="1"/>
  <c r="H1970" i="1"/>
  <c r="F1970" i="1"/>
  <c r="H1969" i="1"/>
  <c r="F1969" i="1"/>
  <c r="H1968" i="1"/>
  <c r="F1968" i="1"/>
  <c r="H1967" i="1"/>
  <c r="F1967" i="1"/>
  <c r="H1966" i="1"/>
  <c r="F1966" i="1"/>
  <c r="H1965" i="1"/>
  <c r="F1965" i="1"/>
  <c r="H1964" i="1"/>
  <c r="F1964" i="1"/>
  <c r="H1963" i="1"/>
  <c r="F1963" i="1"/>
  <c r="H1962" i="1"/>
  <c r="F1962" i="1"/>
  <c r="H1961" i="1"/>
  <c r="F1961" i="1"/>
  <c r="H1960" i="1"/>
  <c r="F1960" i="1"/>
  <c r="H1959" i="1"/>
  <c r="F1959" i="1"/>
  <c r="H1958" i="1"/>
  <c r="F1958" i="1"/>
  <c r="H1957" i="1"/>
  <c r="F1957" i="1"/>
  <c r="H1956" i="1"/>
  <c r="F1956" i="1"/>
  <c r="H1947" i="1"/>
  <c r="F1947" i="1"/>
  <c r="H1946" i="1"/>
  <c r="F1946" i="1"/>
  <c r="H1945" i="1"/>
  <c r="F1945" i="1"/>
  <c r="H1944" i="1"/>
  <c r="F1944" i="1"/>
  <c r="H1943" i="1"/>
  <c r="F1943" i="1"/>
  <c r="H1942" i="1"/>
  <c r="F1942" i="1"/>
  <c r="H1941" i="1"/>
  <c r="F1941" i="1"/>
  <c r="H1940" i="1"/>
  <c r="F1940" i="1"/>
  <c r="H1937" i="1"/>
  <c r="F1937" i="1"/>
  <c r="H1936" i="1"/>
  <c r="F1936" i="1"/>
  <c r="H1935" i="1"/>
  <c r="F1935" i="1"/>
  <c r="H1934" i="1"/>
  <c r="F1934" i="1"/>
  <c r="H1933" i="1"/>
  <c r="F1933" i="1"/>
  <c r="H1932" i="1"/>
  <c r="F1932" i="1"/>
  <c r="H1931" i="1"/>
  <c r="F1931" i="1"/>
  <c r="H1928" i="1"/>
  <c r="F1928" i="1"/>
  <c r="H1927" i="1"/>
  <c r="F1927" i="1"/>
  <c r="H1926" i="1"/>
  <c r="F1926" i="1"/>
  <c r="H1925" i="1"/>
  <c r="F1925" i="1"/>
  <c r="H1924" i="1"/>
  <c r="F1924" i="1"/>
  <c r="H1923" i="1"/>
  <c r="F1923" i="1"/>
  <c r="H1922" i="1"/>
  <c r="F1922" i="1"/>
  <c r="H1920" i="1"/>
  <c r="F1920" i="1"/>
  <c r="H1919" i="1"/>
  <c r="F1919" i="1"/>
  <c r="H1918" i="1"/>
  <c r="F1918" i="1"/>
  <c r="H1917" i="1"/>
  <c r="F1917" i="1"/>
  <c r="H1916" i="1"/>
  <c r="F1916" i="1"/>
  <c r="H1915" i="1"/>
  <c r="F1915" i="1"/>
  <c r="H1914" i="1"/>
  <c r="F1914" i="1"/>
  <c r="H1913" i="1"/>
  <c r="F1913" i="1"/>
  <c r="H1911" i="1"/>
  <c r="F1911" i="1"/>
  <c r="H1910" i="1"/>
  <c r="F1910" i="1"/>
  <c r="H1909" i="1"/>
  <c r="F1909" i="1"/>
  <c r="H1908" i="1"/>
  <c r="F1908" i="1"/>
  <c r="H1907" i="1"/>
  <c r="F1907" i="1"/>
  <c r="H1906" i="1"/>
  <c r="F1906" i="1"/>
  <c r="H1905" i="1"/>
  <c r="F1905" i="1"/>
  <c r="H1904" i="1"/>
  <c r="F1904" i="1"/>
  <c r="H1902" i="1"/>
  <c r="F1902" i="1"/>
  <c r="H1901" i="1"/>
  <c r="F1901" i="1"/>
  <c r="H1900" i="1"/>
  <c r="F1900" i="1"/>
  <c r="H1899" i="1"/>
  <c r="F1899" i="1"/>
  <c r="H1898" i="1"/>
  <c r="F1898" i="1"/>
  <c r="H1897" i="1"/>
  <c r="H1896" i="1"/>
  <c r="F1896" i="1"/>
  <c r="H1895" i="1"/>
  <c r="F1895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H1838" i="1"/>
  <c r="F1838" i="1"/>
  <c r="H1837" i="1"/>
  <c r="F1837" i="1"/>
  <c r="H1836" i="1"/>
  <c r="F1836" i="1"/>
  <c r="H1835" i="1"/>
  <c r="F1835" i="1"/>
  <c r="H1834" i="1"/>
  <c r="F1834" i="1"/>
  <c r="H1833" i="1"/>
  <c r="F1833" i="1"/>
  <c r="H1832" i="1"/>
  <c r="F1832" i="1"/>
  <c r="H1831" i="1"/>
  <c r="F1831" i="1"/>
  <c r="H1830" i="1"/>
  <c r="F1830" i="1"/>
  <c r="H1829" i="1"/>
  <c r="F1829" i="1"/>
  <c r="H1828" i="1"/>
  <c r="F1828" i="1"/>
  <c r="H1827" i="1"/>
  <c r="F1827" i="1"/>
  <c r="H1826" i="1"/>
  <c r="F1826" i="1"/>
  <c r="H1825" i="1"/>
  <c r="F1825" i="1"/>
  <c r="F1824" i="1"/>
  <c r="F1823" i="1"/>
  <c r="F1820" i="1"/>
  <c r="F1819" i="1"/>
  <c r="F1818" i="1"/>
  <c r="F1817" i="1"/>
  <c r="F1816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51" i="1"/>
  <c r="F1719" i="1"/>
  <c r="F1720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18" i="1"/>
  <c r="H1691" i="1"/>
  <c r="H1692" i="1"/>
  <c r="H1693" i="1"/>
  <c r="H1694" i="1"/>
  <c r="H1695" i="1"/>
  <c r="H1696" i="1"/>
  <c r="H1697" i="1"/>
  <c r="H1698" i="1"/>
  <c r="H1700" i="1"/>
  <c r="H1701" i="1"/>
  <c r="H1702" i="1"/>
  <c r="H1703" i="1"/>
  <c r="H1704" i="1"/>
  <c r="H1705" i="1"/>
  <c r="H1706" i="1"/>
  <c r="H1707" i="1"/>
  <c r="H1708" i="1"/>
  <c r="H1690" i="1"/>
  <c r="F1691" i="1"/>
  <c r="F1692" i="1"/>
  <c r="F1693" i="1"/>
  <c r="F1694" i="1"/>
  <c r="F1695" i="1"/>
  <c r="F1696" i="1"/>
  <c r="F1697" i="1"/>
  <c r="F1698" i="1"/>
  <c r="F1700" i="1"/>
  <c r="F1701" i="1"/>
  <c r="F1702" i="1"/>
  <c r="F1703" i="1"/>
  <c r="F1704" i="1"/>
  <c r="F1705" i="1"/>
  <c r="F1706" i="1"/>
  <c r="F1707" i="1"/>
  <c r="F1708" i="1"/>
  <c r="F1690" i="1"/>
  <c r="F1611" i="1"/>
  <c r="F1610" i="1"/>
  <c r="F1609" i="1"/>
  <c r="F1608" i="1"/>
  <c r="F1607" i="1"/>
  <c r="F1606" i="1"/>
  <c r="F1605" i="1"/>
  <c r="F1604" i="1"/>
  <c r="F1560" i="1"/>
  <c r="F1559" i="1"/>
  <c r="F1558" i="1"/>
  <c r="F1557" i="1"/>
  <c r="F1556" i="1"/>
  <c r="F1555" i="1"/>
  <c r="F1553" i="1"/>
  <c r="F1552" i="1"/>
  <c r="F1551" i="1"/>
  <c r="F1550" i="1"/>
  <c r="F1549" i="1"/>
  <c r="F1548" i="1"/>
  <c r="F1544" i="1"/>
  <c r="F1543" i="1"/>
  <c r="F1542" i="1"/>
  <c r="F1541" i="1"/>
  <c r="F1540" i="1"/>
  <c r="F1539" i="1"/>
  <c r="F1538" i="1"/>
  <c r="F1537" i="1"/>
  <c r="F1536" i="1"/>
  <c r="F1535" i="1"/>
  <c r="F1534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01" i="1"/>
  <c r="F1500" i="1"/>
  <c r="F1499" i="1"/>
  <c r="F1498" i="1"/>
  <c r="F1497" i="1"/>
  <c r="F1494" i="1"/>
  <c r="F1493" i="1"/>
  <c r="F1492" i="1"/>
  <c r="F1488" i="1"/>
  <c r="F1487" i="1"/>
  <c r="F1485" i="1"/>
  <c r="F1484" i="1"/>
  <c r="F1483" i="1"/>
  <c r="F1482" i="1"/>
  <c r="F1479" i="1"/>
  <c r="F1478" i="1"/>
  <c r="F1477" i="1"/>
  <c r="F1476" i="1"/>
  <c r="F1475" i="1"/>
  <c r="F1474" i="1"/>
  <c r="F1473" i="1"/>
  <c r="F1472" i="1"/>
  <c r="F1471" i="1"/>
  <c r="F1470" i="1"/>
  <c r="F1468" i="1"/>
  <c r="F1467" i="1"/>
  <c r="F1466" i="1"/>
  <c r="F1465" i="1"/>
  <c r="F15" i="5"/>
  <c r="F3" i="5"/>
  <c r="F4" i="5"/>
  <c r="F5" i="5"/>
  <c r="F6" i="5"/>
  <c r="F7" i="5"/>
  <c r="F8" i="5"/>
  <c r="F9" i="5"/>
  <c r="F10" i="5"/>
  <c r="F11" i="5"/>
  <c r="F12" i="5"/>
  <c r="F13" i="5"/>
  <c r="F14" i="5"/>
  <c r="F2" i="5"/>
  <c r="F389" i="1"/>
  <c r="F388" i="1"/>
  <c r="F387" i="1"/>
  <c r="F386" i="1"/>
  <c r="F385" i="1"/>
  <c r="F384" i="1"/>
  <c r="F383" i="1"/>
  <c r="F382" i="1"/>
  <c r="F380" i="1"/>
  <c r="F379" i="1"/>
  <c r="F378" i="1"/>
  <c r="F377" i="1"/>
  <c r="F376" i="1"/>
  <c r="F375" i="1"/>
  <c r="F374" i="1"/>
  <c r="F373" i="1"/>
  <c r="F372" i="1"/>
  <c r="F370" i="1"/>
  <c r="F369" i="1"/>
  <c r="F368" i="1"/>
  <c r="F367" i="1"/>
  <c r="F366" i="1"/>
  <c r="F365" i="1"/>
  <c r="F364" i="1"/>
  <c r="F363" i="1"/>
  <c r="H362" i="1"/>
  <c r="F362" i="1"/>
  <c r="H360" i="1"/>
  <c r="F360" i="1"/>
  <c r="H358" i="1"/>
  <c r="F358" i="1"/>
  <c r="H357" i="1"/>
  <c r="F357" i="1"/>
  <c r="H356" i="1"/>
  <c r="F356" i="1"/>
  <c r="H354" i="1"/>
  <c r="F354" i="1"/>
  <c r="H353" i="1"/>
  <c r="F353" i="1"/>
  <c r="H352" i="1"/>
  <c r="F352" i="1"/>
  <c r="H351" i="1"/>
  <c r="F351" i="1"/>
  <c r="H350" i="1"/>
  <c r="F350" i="1"/>
  <c r="H349" i="1"/>
  <c r="F349" i="1"/>
  <c r="H348" i="1"/>
  <c r="F348" i="1"/>
  <c r="H347" i="1"/>
  <c r="F347" i="1"/>
  <c r="H346" i="1"/>
  <c r="F346" i="1"/>
  <c r="H344" i="1"/>
  <c r="H340" i="1"/>
  <c r="H339" i="1"/>
  <c r="H338" i="1"/>
  <c r="H337" i="1"/>
  <c r="H336" i="1"/>
  <c r="H335" i="1"/>
  <c r="H334" i="1"/>
  <c r="H333" i="1"/>
  <c r="H332" i="1"/>
  <c r="H329" i="1"/>
  <c r="H327" i="1"/>
  <c r="H325" i="1"/>
  <c r="H323" i="1"/>
  <c r="H321" i="1"/>
  <c r="F308" i="1"/>
  <c r="F307" i="1"/>
  <c r="F306" i="1"/>
  <c r="H303" i="1"/>
  <c r="F303" i="1"/>
  <c r="H302" i="1"/>
  <c r="F302" i="1"/>
  <c r="H301" i="1"/>
  <c r="F301" i="1"/>
  <c r="H300" i="1"/>
  <c r="F300" i="1"/>
  <c r="H299" i="1"/>
  <c r="F299" i="1"/>
  <c r="H297" i="1"/>
  <c r="F297" i="1"/>
  <c r="H296" i="1"/>
  <c r="F296" i="1"/>
  <c r="H294" i="1"/>
  <c r="F294" i="1"/>
  <c r="H293" i="1"/>
  <c r="F293" i="1"/>
  <c r="H292" i="1"/>
  <c r="F292" i="1"/>
  <c r="H291" i="1"/>
  <c r="F291" i="1"/>
  <c r="H290" i="1"/>
  <c r="H289" i="1"/>
  <c r="F281" i="1"/>
  <c r="F280" i="1"/>
  <c r="F279" i="1"/>
  <c r="F278" i="1"/>
  <c r="F277" i="1"/>
  <c r="F276" i="1"/>
  <c r="F275" i="1"/>
  <c r="F274" i="1"/>
  <c r="F273" i="1"/>
  <c r="F272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5" i="1"/>
  <c r="F254" i="1"/>
  <c r="F253" i="1"/>
  <c r="F252" i="1"/>
  <c r="F251" i="1"/>
  <c r="F250" i="1"/>
  <c r="F249" i="1"/>
  <c r="F248" i="1"/>
  <c r="F247" i="1"/>
  <c r="F245" i="1"/>
  <c r="F244" i="1"/>
  <c r="F243" i="1"/>
  <c r="F241" i="1"/>
  <c r="F240" i="1"/>
  <c r="F239" i="1"/>
  <c r="F237" i="1"/>
  <c r="F235" i="1"/>
  <c r="F234" i="1"/>
  <c r="F232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6" i="1"/>
  <c r="F215" i="1"/>
  <c r="F214" i="1"/>
  <c r="F213" i="1"/>
  <c r="F212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4" i="1"/>
  <c r="H5" i="1"/>
  <c r="H6" i="1"/>
  <c r="H7" i="1"/>
  <c r="H8" i="1"/>
  <c r="H9" i="1"/>
  <c r="H10" i="1"/>
  <c r="H11" i="1"/>
  <c r="H12" i="1"/>
  <c r="H13" i="1"/>
  <c r="H3" i="1"/>
  <c r="H2" i="1"/>
  <c r="F5" i="1"/>
  <c r="F6" i="1"/>
  <c r="F7" i="1"/>
  <c r="F8" i="1"/>
  <c r="F9" i="1"/>
  <c r="F10" i="1"/>
  <c r="F11" i="1"/>
  <c r="F12" i="1"/>
  <c r="F13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3" i="1"/>
  <c r="F4" i="1"/>
  <c r="F2" i="1"/>
  <c r="E2104" i="1" l="1"/>
  <c r="E2106" i="1"/>
  <c r="E2111" i="1"/>
  <c r="E2116" i="1"/>
  <c r="E2105" i="1"/>
  <c r="H2117" i="1"/>
  <c r="H2113" i="1"/>
  <c r="E2114" i="1"/>
  <c r="H2109" i="1"/>
  <c r="E2112" i="1"/>
  <c r="E2110" i="1"/>
  <c r="E2117" i="1"/>
  <c r="E2115" i="1"/>
  <c r="E2108" i="1"/>
  <c r="E2113" i="1"/>
</calcChain>
</file>

<file path=xl/sharedStrings.xml><?xml version="1.0" encoding="utf-8"?>
<sst xmlns="http://schemas.openxmlformats.org/spreadsheetml/2006/main" count="9506" uniqueCount="4373">
  <si>
    <t>auto-key</t>
  </si>
  <si>
    <t>search word</t>
  </si>
  <si>
    <t>name</t>
  </si>
  <si>
    <t>cost</t>
  </si>
  <si>
    <t>last price</t>
  </si>
  <si>
    <t>display price</t>
  </si>
  <si>
    <t>product catagories</t>
  </si>
  <si>
    <t xml:space="preserve"> ජී  අයි බොක්ස් බාර් 3/4"X3/4"  (1.1 mm) මෙල්වා</t>
  </si>
  <si>
    <t>ජී  අයි බොක්ස් බාර් 3/4"X3/4" (1.4mm) මෙල්වා</t>
  </si>
  <si>
    <t>ජී  අයි බොක්ස් බාර් 3/4"X3/4" (1.6mm) මෙල්වා</t>
  </si>
  <si>
    <t>ජී  අයි බොක්ස් බාර් 3/4"X3/4" (2.0 mm) මෙල්වා</t>
  </si>
  <si>
    <t>ජී  අයි බොක්ස් බාර් 1"x1" (0.9mm) මෙල්වා</t>
  </si>
  <si>
    <t>ජී  අයි බොක්ස් බාර් 1"x1" (1.1mm) මෙල්වා</t>
  </si>
  <si>
    <t>ජී  අයි බොක්ස් බාර් 1"x1" (1.2mm) මෙල්වා</t>
  </si>
  <si>
    <t>ජී  අයි බොක්ස් බාර් 1"x1" (1.4mm) මෙල්වා</t>
  </si>
  <si>
    <t>ජී  අයි බොක්ස් බාර් 1"x1" (1.6mm) මෙල්වා</t>
  </si>
  <si>
    <t>ජී  අයි බොක්ස් බාර් 1"x1" (2.0mm) මෙල්වා</t>
  </si>
  <si>
    <t>ජී  අයි බොක්ස් බාර් 1 1/2"x1 1/2" (0.9mm) මෙල්වා</t>
  </si>
  <si>
    <t>ජී  අයි බොක්ස් බාර් 1 1/2"x1 1/2" (1.1mm) මෙල්වා</t>
  </si>
  <si>
    <t>ජී  අයි බොක්ස් බාර් 1 1/2"x1 1/2" (1.2mm) මෙල්වා</t>
  </si>
  <si>
    <t>ජී  අයි බොක්ස් බාර් 1 1/2"x1 1/2" (1.4mm) මෙල්වා</t>
  </si>
  <si>
    <t>ජී  අයි බොක්ස් බාර් 1 1/2"x1 1/2" (1.6mm) මෙල්වා</t>
  </si>
  <si>
    <t>ජී  අයි බොක්ස් බාර් 1 1/2"x1 1/2" (2.0mm) මෙල්වා</t>
  </si>
  <si>
    <t>ජී  අයි බොක්ස් බාර් 1 1/2"x3/4" (1.2mm) මෙල්වා</t>
  </si>
  <si>
    <t>ජී  අයි බොක්ස් බාර් 1 1/2"x3/4" (1.4mm) මෙල්වා</t>
  </si>
  <si>
    <t>ජී  අයි බොක්ස් බාර් 1 1/2"x3/4" (1.6mm) මෙල්වා</t>
  </si>
  <si>
    <t>ජී  අයි බොක්ස් බාර් 1 1/4"x1 3/4" (1.2mm) මෙල්වා</t>
  </si>
  <si>
    <t>ජී  අයි බොක්ස් බාර් 1 1/4"x1 3/4" (1.4mm) මෙල්වා</t>
  </si>
  <si>
    <t>ජී  අයි බොක්ස් බාර් 1 1/4"x1 3/4" (1.6mm) මෙල්වා</t>
  </si>
  <si>
    <t>ජී  අයි බොක්ස් බාර් 1 1/2"x1 1/2" (3.0mm) මෙල්වා</t>
  </si>
  <si>
    <t>ජී  අයි බොක්ස් බාර් 2"x1" (1.2mm) මෙල්වා</t>
  </si>
  <si>
    <t>ජී  අයි බොක්ස් බාර් 2"x1" (1.4mm) මෙල්වා</t>
  </si>
  <si>
    <t>ජී  අයි බොක්ස් බාර් 2"x1" (1.6mm) මෙල්වා</t>
  </si>
  <si>
    <t>ජී  අයි බොක්ස් බාර් 2"x1" (2.0mm) මෙල්වා</t>
  </si>
  <si>
    <t>ජී  අයි බොක්ස් බාර් 2"x1" (3.0mm) මෙල්වා</t>
  </si>
  <si>
    <t>ජී  අයි බොක්ස් බාර් 2"x2" (1.2mm) මෙල්වා</t>
  </si>
  <si>
    <t>ජී  අයි බොක්ස් බාර් 2"x2" (1.4mm) මෙල්වා</t>
  </si>
  <si>
    <t>ජී  අයි බොක්ස් බාර් 2"x2" (1.6mm) මෙල්වා</t>
  </si>
  <si>
    <t>ජී  අයි බොක්ස් බාර් 2"x2" (2.0mm) මෙල්වා</t>
  </si>
  <si>
    <t>ජී  අයි බොක්ස් බාර් 2"x2" (3.0mm) මෙල්වා</t>
  </si>
  <si>
    <t>ජී  අයි බොක්ස් බාර් 3"x1" (1.2mm) මෙල්වා</t>
  </si>
  <si>
    <t>ජී  අයි බොක්ස් බාර් 3"x1" (1.4mm) මෙල්වා</t>
  </si>
  <si>
    <t>ජී  අයි බොක්ස් බාර් 3"x1" (1.5mm) මෙල්වා</t>
  </si>
  <si>
    <t>ජී  අයි බොක්ස් බාර් 3"x1 1/2" (1.2mm) මෙල්වා</t>
  </si>
  <si>
    <t>ජී  අයි බොක්ස් බාර් 3"x1 1/2" (1.4mm) මෙල්වා</t>
  </si>
  <si>
    <t>ජී  අයි බොක්ස් බාර් 3"x1 1/2" (1.6mm) මෙල්වා</t>
  </si>
  <si>
    <t>ජී  අයි බොක්ස් බාර් 3"x1 1/2" (2.0mm) මෙල්වා</t>
  </si>
  <si>
    <t>ජී  අයි බොක්ස් බාර් 3"x1 1/2" (3.0mm) මෙල්වා</t>
  </si>
  <si>
    <t>ජී  අයි බොක්ස් බාර් 4"x2" (3.0mm) මෙල්වා</t>
  </si>
  <si>
    <t>ජී  අයි බොක්ස් බාර් 4"x2" (1.2mm) මෙල්වා</t>
  </si>
  <si>
    <t>ජී  අයි බොක්ස් බාර් 4"x2" (1.4mm) මෙල්වා</t>
  </si>
  <si>
    <t>ජී  අයි බොක්ස් බාර් 4"x2" (1.6mm) මෙල්වා</t>
  </si>
  <si>
    <t>ජී  අයි බොක්ස් බාර් 4"x2" (2.0mm) මෙල්වා</t>
  </si>
  <si>
    <t>ජී  අයි බොක්ස් බාර් 3"x3" (1.6mm) මෙල්වා</t>
  </si>
  <si>
    <t>MELWA BOX BAR</t>
  </si>
  <si>
    <r>
      <t xml:space="preserve">ජී  අයි බොක්ස් බාර් 3/4"X3/4" (0.9mm) </t>
    </r>
    <r>
      <rPr>
        <b/>
        <sz val="8"/>
        <color theme="1"/>
        <rFont val="Calibri"/>
        <family val="2"/>
        <scheme val="minor"/>
      </rPr>
      <t xml:space="preserve">මෙල්වා </t>
    </r>
  </si>
  <si>
    <r>
      <t xml:space="preserve">ජී  අයි බොක්ස් බාර් 3/4"X3/4" (1.2mm) </t>
    </r>
    <r>
      <rPr>
        <b/>
        <sz val="8"/>
        <color theme="1"/>
        <rFont val="Calibri"/>
        <family val="2"/>
        <scheme val="minor"/>
      </rPr>
      <t>මෙල්වා</t>
    </r>
    <r>
      <rPr>
        <b/>
        <sz val="9"/>
        <color theme="1"/>
        <rFont val="Calibri"/>
        <family val="2"/>
        <scheme val="minor"/>
      </rPr>
      <t xml:space="preserve"> </t>
    </r>
  </si>
  <si>
    <t xml:space="preserve">    -</t>
  </si>
  <si>
    <t>ජී  අයි බොක්ස් බාර් 1/2"x1/2" (1.2mm) මෙල්වා</t>
  </si>
  <si>
    <t xml:space="preserve">  -</t>
  </si>
  <si>
    <t>Sales price</t>
  </si>
  <si>
    <t xml:space="preserve"> GI BOX 3/4"X3/4"</t>
  </si>
  <si>
    <t xml:space="preserve"> GI BOX 1"x1"</t>
  </si>
  <si>
    <t xml:space="preserve"> GI BOX  1 1/2"x1 1/2"</t>
  </si>
  <si>
    <t xml:space="preserve"> GI BOX  1 1/2"x3/4"</t>
  </si>
  <si>
    <t xml:space="preserve"> GI BOX  1 1/4"x1 3/4" </t>
  </si>
  <si>
    <t>ජී  අයි බොක්ස් බාර්   2"x1"  (1.1mm) මෙල්වා</t>
  </si>
  <si>
    <t xml:space="preserve"> GI BOX    2"x1"</t>
  </si>
  <si>
    <t xml:space="preserve"> GI BOX   2"x2"</t>
  </si>
  <si>
    <t xml:space="preserve"> GI BOX  3"x1"</t>
  </si>
  <si>
    <t xml:space="preserve"> GI BOX  3"x1 1/2"</t>
  </si>
  <si>
    <t xml:space="preserve"> GI BOX  4"x2"</t>
  </si>
  <si>
    <t xml:space="preserve"> GI BOX 3"x3"</t>
  </si>
  <si>
    <t xml:space="preserve"> GI BOX 1/2"x1/2"</t>
  </si>
  <si>
    <t xml:space="preserve">SWITCH </t>
  </si>
  <si>
    <t>1 ගෑන් 1වේ ORANGE</t>
  </si>
  <si>
    <t>2 ගෑන් 1වේ ORANGE</t>
  </si>
  <si>
    <t>3 ගෑන් 1වේ ORANGE</t>
  </si>
  <si>
    <t>4 ගෑන් 1වේ ORANGE</t>
  </si>
  <si>
    <t>5 ගෑන් 1වේ ORANGE</t>
  </si>
  <si>
    <t>6 ගෑන් 1වේ ORANGE</t>
  </si>
  <si>
    <t>1 ගෑන් 2වේ ORANGE</t>
  </si>
  <si>
    <t>2 ගෑන් 2වේ ORANGE</t>
  </si>
  <si>
    <t>3 ගෑන් 2වේ ORANGE</t>
  </si>
  <si>
    <t>4 ගෑන් 2වේ ORANGE</t>
  </si>
  <si>
    <t>5 ගෑන් 2වේ ORANGE</t>
  </si>
  <si>
    <t>ORANGE ELECTRIC</t>
  </si>
  <si>
    <t>TV</t>
  </si>
  <si>
    <t>ටීවි ශොකට් ORANGE</t>
  </si>
  <si>
    <t>13A  ශොකට් ORANGE</t>
  </si>
  <si>
    <t xml:space="preserve">බෙල් ප්‍රෙස් </t>
  </si>
  <si>
    <t>motar switch</t>
  </si>
  <si>
    <t xml:space="preserve">ලංවා සිමින්ති </t>
  </si>
  <si>
    <t>ලංවා සිමින්ති  107</t>
  </si>
  <si>
    <t>CEMENT</t>
  </si>
  <si>
    <t>NW</t>
  </si>
  <si>
    <t>NBE</t>
  </si>
  <si>
    <t>NBW</t>
  </si>
  <si>
    <t xml:space="preserve">සංස්ථා සිමින්ති </t>
  </si>
  <si>
    <t>CONSTRUCTION</t>
  </si>
  <si>
    <t>නිපොන්  එමල්ශන් සුදු 1L</t>
  </si>
  <si>
    <t>නිපොන්  එමල්ශන් සුදු 4L</t>
  </si>
  <si>
    <t>නිපොන්  එමල්ශන් සුදු 10L</t>
  </si>
  <si>
    <t>නිපොන්  එමල්ශන් සුදු 20L</t>
  </si>
  <si>
    <t>නිපොන්  වෙදර්සීල්  සුදු 1L</t>
  </si>
  <si>
    <t>නිපොන්  වෙදර්සීල්  සුදු 4L</t>
  </si>
  <si>
    <t>නිපොන්  බ්‍රීස් එමල්ශන්  සුදු 1L</t>
  </si>
  <si>
    <t>නිපොන්  බ්‍රීස් එමල්ශන්  සුදු 4L</t>
  </si>
  <si>
    <t>නිපොන්  බ්‍රීස් එමල්ශන් සුදු 10L</t>
  </si>
  <si>
    <t xml:space="preserve">නිපොන්  බ්‍රීස් එමල්ශන් සුදු 20L </t>
  </si>
  <si>
    <t>නිපොන් බ්‍රීස්  සුදු වෙදර්සීල් 1L</t>
  </si>
  <si>
    <t>නිපොන්  බ්‍රීස්  සුදු වෙදර්සීල් 4L</t>
  </si>
  <si>
    <t>නිපොන්  බ්‍රීස්  සුදු වෙදර්සීල් 10L</t>
  </si>
  <si>
    <t>නිපොන් බ්‍රීස්  සුදු වෙදර්සීල් 20L</t>
  </si>
  <si>
    <t>13A නියෝන් ORANGE</t>
  </si>
  <si>
    <t>ෆෑන් ඩිමර්</t>
  </si>
  <si>
    <t xml:space="preserve">ලයිට්  ඩිමර්   </t>
  </si>
  <si>
    <t>බේකර් 6A</t>
  </si>
  <si>
    <t>බේකර් 10A</t>
  </si>
  <si>
    <t>බේකර් 16A</t>
  </si>
  <si>
    <t>බේකර් 32A</t>
  </si>
  <si>
    <t>මේන් ස්විච් SIGMA</t>
  </si>
  <si>
    <t xml:space="preserve">ටිප් ස්විච්  MCB   </t>
  </si>
  <si>
    <t>TIP</t>
  </si>
  <si>
    <t>බේකර් ඇල්ෆා 6A</t>
  </si>
  <si>
    <t>බේකර් ඇල්ෆා 10A</t>
  </si>
  <si>
    <t>බේකර් ඇල්ෆා 16A</t>
  </si>
  <si>
    <t>බේකර් ඇල්ෆා 32A</t>
  </si>
  <si>
    <t>මේන් ස්විච් ඇල්ෆා</t>
  </si>
  <si>
    <t>ටිප් ස්විච් ඇල්ෆා</t>
  </si>
  <si>
    <t>MCB CHANGEOVER 2POLE 40A</t>
  </si>
  <si>
    <t>MCB</t>
  </si>
  <si>
    <t>4 POLE 63A ISOLATER</t>
  </si>
  <si>
    <t>3  POLE 63A ISOLATER</t>
  </si>
  <si>
    <t>RCD ටිප් ස්විච්</t>
  </si>
  <si>
    <t>1 ගෑන් 1වේ ORANGE BLACK</t>
  </si>
  <si>
    <t>2 ගෑන් 1වේ ORANGE BLACK</t>
  </si>
  <si>
    <t>3 ගෑන් 1වේ ORANGE BLACK</t>
  </si>
  <si>
    <t>4 ගෑන් 1වේ ORANGE BLACK</t>
  </si>
  <si>
    <t>5 ගෑන් 1වේ ORANGE BLACK</t>
  </si>
  <si>
    <t>6 ගෑන් 1වේ ORANGE BLACK</t>
  </si>
  <si>
    <t>1 ගෑන් 2වේ ORANGE BLACK</t>
  </si>
  <si>
    <t>2 ගෑන් 2වේ ORANGE BLACK</t>
  </si>
  <si>
    <t>3 ගෑන් 2වේ ORANGE BLACK</t>
  </si>
  <si>
    <t>4 ගෑන් 2වේ ORANGE BLACK</t>
  </si>
  <si>
    <t>5 ගෑන් 2වේ ORANGE BLACK</t>
  </si>
  <si>
    <t>SWITCH BLACK</t>
  </si>
  <si>
    <t>ටීවි ශොකට් ORANGE BLACK</t>
  </si>
  <si>
    <t>13A  ශොකට් ORANGE LED BLACK</t>
  </si>
  <si>
    <t>13A  ශොකට් ORANGE BLACK</t>
  </si>
  <si>
    <t>13A නියෝන් ORANGE BLACK</t>
  </si>
  <si>
    <t>ෆෑන් ඩිමර් BLACK</t>
  </si>
  <si>
    <t>ලයිට්  ඩිමර් BLACK</t>
  </si>
  <si>
    <t>motar switch BLACK</t>
  </si>
  <si>
    <t>බෙල් ප්‍රෙස් BLACK</t>
  </si>
  <si>
    <t>13A  ශොකට් ORANGE BLACK LED</t>
  </si>
  <si>
    <t xml:space="preserve">ෆෑන් ඩිමර් 5 STEP </t>
  </si>
  <si>
    <t>FAN</t>
  </si>
  <si>
    <r>
      <rPr>
        <b/>
        <sz val="9"/>
        <color theme="1"/>
        <rFont val="Calibri"/>
        <family val="2"/>
        <scheme val="minor"/>
      </rPr>
      <t>4" S-LON කටින් වීල්</t>
    </r>
    <r>
      <rPr>
        <sz val="9"/>
        <color theme="1"/>
        <rFont val="Calibri"/>
        <family val="2"/>
        <scheme val="minor"/>
      </rPr>
      <t xml:space="preserve"> </t>
    </r>
  </si>
  <si>
    <r>
      <rPr>
        <b/>
        <sz val="9"/>
        <color theme="1"/>
        <rFont val="Calibri"/>
        <family val="2"/>
        <scheme val="minor"/>
      </rPr>
      <t>4 1/2" S-LON කටින් වීල්</t>
    </r>
    <r>
      <rPr>
        <sz val="9"/>
        <color theme="1"/>
        <rFont val="Calibri"/>
        <family val="2"/>
        <scheme val="minor"/>
      </rPr>
      <t xml:space="preserve"> </t>
    </r>
  </si>
  <si>
    <t xml:space="preserve">4" HASKY කටින් වීල් </t>
  </si>
  <si>
    <t xml:space="preserve"> 4 1/2" HASKY කටින් වීල්</t>
  </si>
  <si>
    <t xml:space="preserve">4" කටින් වීල් මිල අඩු </t>
  </si>
  <si>
    <t xml:space="preserve">4 1/2" කටින් වීල් මිල අඩු </t>
  </si>
  <si>
    <t>CUT 4"</t>
  </si>
  <si>
    <t>CUT 4 1/2"</t>
  </si>
  <si>
    <t xml:space="preserve">4" HASKY ග්‍රයින්ඩින් වීල් </t>
  </si>
  <si>
    <t xml:space="preserve">4 1/2" HASKY ග්‍රයින්ඩින් වීල් </t>
  </si>
  <si>
    <t xml:space="preserve">4"  මිල අඩු ග්‍රයින්ඩින් වීල් </t>
  </si>
  <si>
    <t xml:space="preserve">4 1/2"  මිල අඩු ග්‍රයින්ඩින් වීල් </t>
  </si>
  <si>
    <t>14" HASKY බාකටර් තල</t>
  </si>
  <si>
    <t>14" S-LON බාකටර් තල</t>
  </si>
  <si>
    <t>CUT 14"</t>
  </si>
  <si>
    <t xml:space="preserve">4" S-LON ඩයමන් වීල්  </t>
  </si>
  <si>
    <t xml:space="preserve">7" NOISE ඩයමන් වීල්  </t>
  </si>
  <si>
    <t xml:space="preserve">9" NOISE ඩයමන් වීල්  </t>
  </si>
  <si>
    <t xml:space="preserve">4" NOISE ඩයමන් වීල්  </t>
  </si>
  <si>
    <t xml:space="preserve">4 1/2" NOISE ඩයමන් වීල්  </t>
  </si>
  <si>
    <t xml:space="preserve"> -</t>
  </si>
  <si>
    <t>4 1/2" S-LON ඩයමන් වීල්(TURBO)</t>
  </si>
  <si>
    <t>DIAMOND 4"</t>
  </si>
  <si>
    <t>DIAMOND 4 1/2"</t>
  </si>
  <si>
    <t xml:space="preserve">4" HASKY ඩයමන් වීල්  (ටයිල් කපන)  </t>
  </si>
  <si>
    <t xml:space="preserve">4" EHPL ඩයමන් වීල්  (ටයිල් කපන)  </t>
  </si>
  <si>
    <t xml:space="preserve">4 1/2" HASKY ඩයමන් වීල්  (ටයිල් කපන)  </t>
  </si>
  <si>
    <t xml:space="preserve">4 1/2" EHPL ඩයමන් වීල්  (ටයිල් කපන)  </t>
  </si>
  <si>
    <t>4 1/2" PE+ ඩයමන් වීල්(SEAMLESS)</t>
  </si>
  <si>
    <t>DIAMOND 9"</t>
  </si>
  <si>
    <t>4 " NOISE ඩයමන් වීල්(SEAMLESS)</t>
  </si>
  <si>
    <t>4" NIPPON ඩයමන් වීල්(SEAMLESS)</t>
  </si>
  <si>
    <t xml:space="preserve">4" BOSUN ඩයමන් වීල්  </t>
  </si>
  <si>
    <t xml:space="preserve">4 1/2" BOSUN ඩයමන් වීල්  </t>
  </si>
  <si>
    <t xml:space="preserve">4" HASKY ඩයමන් වීල් </t>
  </si>
  <si>
    <t xml:space="preserve">4" HASKY TURBO DISK </t>
  </si>
  <si>
    <t>4 1/2" S-LON ඩයමන් වීල්</t>
  </si>
  <si>
    <t xml:space="preserve">4"ග්‍රයින්ඩින් වීල්(ටයිල් ගාන ) </t>
  </si>
  <si>
    <t xml:space="preserve">4 1/2" HASKY ඩයමන් වීල් </t>
  </si>
  <si>
    <t>උල් ඇන 1KG</t>
  </si>
  <si>
    <t>උල් ඇන 500g</t>
  </si>
  <si>
    <t>උල් ඇන 250g</t>
  </si>
  <si>
    <t>උල් ඇන 100g</t>
  </si>
  <si>
    <t>උල් ඇන 50g</t>
  </si>
  <si>
    <t>ඉදල් ඇන 1KG</t>
  </si>
  <si>
    <t>ඉදල් ඇන 500g</t>
  </si>
  <si>
    <t>ඉදල් ඇන 250g</t>
  </si>
  <si>
    <t>ඉදල් ඇන 100g</t>
  </si>
  <si>
    <t>ඉදල් ඇන 50g</t>
  </si>
  <si>
    <t>සිමින්ති 1kg</t>
  </si>
  <si>
    <t xml:space="preserve">4" වැලිකොල  ඩිස් </t>
  </si>
  <si>
    <t xml:space="preserve">4 1/2" වැලිකොල  ඩිස් </t>
  </si>
  <si>
    <t>FLAP</t>
  </si>
  <si>
    <t xml:space="preserve">4" ටයිල් පොලිෂ්  ඩිස් </t>
  </si>
  <si>
    <t>CUP WHEEL</t>
  </si>
  <si>
    <t xml:space="preserve">4" HASKY කප් වීල් </t>
  </si>
  <si>
    <t xml:space="preserve">4  1/2" BOSUN කප් වීල් </t>
  </si>
  <si>
    <t xml:space="preserve">4 1/2" HASKY කප් වීල් </t>
  </si>
  <si>
    <t xml:space="preserve">4" BOSUN කප් වීල් </t>
  </si>
  <si>
    <t>TILE</t>
  </si>
  <si>
    <t>NAILS</t>
  </si>
  <si>
    <t xml:space="preserve">4" ලී කපන තල  </t>
  </si>
  <si>
    <t xml:space="preserve">4 1/2" ලී කපන තල  </t>
  </si>
  <si>
    <t xml:space="preserve">7" ලී කපන තල  </t>
  </si>
  <si>
    <t xml:space="preserve">12" ලී කපන තල  </t>
  </si>
  <si>
    <t>7" ලී කපන තල (මිල අඩු)</t>
  </si>
  <si>
    <t>WOOD CUT</t>
  </si>
  <si>
    <t>ටින්ටස් ඇන 100g</t>
  </si>
  <si>
    <t>කොන්ක්‍රීට් ඇන 100g</t>
  </si>
  <si>
    <t xml:space="preserve"> ජගුවර් ඇන 100g</t>
  </si>
  <si>
    <t>පිත්තල උල් ඇන 100g</t>
  </si>
  <si>
    <t>ටකරන්  ඇන 100g</t>
  </si>
  <si>
    <t xml:space="preserve">10" ලී කපන තල(S-LON)  </t>
  </si>
  <si>
    <t xml:space="preserve">9" ලී කපන තල(DONG CHENG)  </t>
  </si>
  <si>
    <t>පැකට් ඇන 100g</t>
  </si>
  <si>
    <t>4" ග්‍රයින්ඩර් පෑඩ් NO:1</t>
  </si>
  <si>
    <t>4" ග්‍රයින්ඩර් පෑඩ් NO:2</t>
  </si>
  <si>
    <t>4 1/2" ග්‍රයින්ඩර් පෑඩ් NO:1</t>
  </si>
  <si>
    <t>4 1/2" ග්‍රයින්ඩර් පෑඩ් NO:2</t>
  </si>
  <si>
    <t>G.PAD</t>
  </si>
  <si>
    <t xml:space="preserve">ග්‍රයින්ඩර් තල </t>
  </si>
  <si>
    <t>වතුර බට</t>
  </si>
  <si>
    <t>1/2 වතුර බට (ANTON)</t>
  </si>
  <si>
    <t>1 වතුර බට (ANTON)</t>
  </si>
  <si>
    <t>1 1/4 වතුර බට (ANTON)</t>
  </si>
  <si>
    <t>1 1/2 X 400 වතුර බට (ANTON)</t>
  </si>
  <si>
    <t>1 1/2 X 600 වතුර බට (ANTON)</t>
  </si>
  <si>
    <t>1 1/2 X 1000 වතුර බට (ANTON)</t>
  </si>
  <si>
    <t xml:space="preserve">2 IRRRIGATION වතුර බට (ANTON) </t>
  </si>
  <si>
    <t>2 X 400 වතුර බට (ANTON)</t>
  </si>
  <si>
    <t>2 PNT 7 වතුර බට (ANTON)</t>
  </si>
  <si>
    <t>2 PNT 11 වතුර බට (ANTON)</t>
  </si>
  <si>
    <t>3 1/2 වතුර බට (ANTON ඩවුන් පයිප්ප )</t>
  </si>
  <si>
    <t>4 NON PRESS වතුර බට (ANTON)</t>
  </si>
  <si>
    <t>4 X 250T වතුර බට (ANTON)</t>
  </si>
  <si>
    <t>4 X CLASS 4 වතුර බට (ANTON)</t>
  </si>
  <si>
    <t>6 TUBE WELL වතුර බට (ANTON)</t>
  </si>
  <si>
    <t>3/4 වතුර බට (ANTON)</t>
  </si>
  <si>
    <t>1 X 1000 වතුර බට (ANTON)</t>
  </si>
  <si>
    <t>1 1/2 වතුර බට (ANTON NON PRESS)</t>
  </si>
  <si>
    <t>1/2 වතුර බට (S-LON)</t>
  </si>
  <si>
    <t>3/4 වතුර බට (S-LON)</t>
  </si>
  <si>
    <t>1 වතුර බට (S-LON)</t>
  </si>
  <si>
    <t>1 X 1000 වතුර බට (S-LON)</t>
  </si>
  <si>
    <t>1 1/4 වතුර බට (S-LON)</t>
  </si>
  <si>
    <t>1 1/2 වතුර බට (S-LON NON PRESS)</t>
  </si>
  <si>
    <t>1 1/2 X 400 වතුර බට (S-LON)</t>
  </si>
  <si>
    <t>1 1/2 X 600 වතුර බට (S-LON)</t>
  </si>
  <si>
    <t>1 1/2 X 1000 වතුර බට (S-LON)</t>
  </si>
  <si>
    <t xml:space="preserve">2 IRRRIGATION වතුර බට (S-LON) </t>
  </si>
  <si>
    <t>2 X 400 වතුර බට (S-LON)</t>
  </si>
  <si>
    <t>2 PNT 7 වතුර බට (S-LON)</t>
  </si>
  <si>
    <t>2 PNT 11 වතුර බට (S-LON)</t>
  </si>
  <si>
    <t>3 1/2 වතුර බට (S-LON ඩවුන් පයිප්ප )</t>
  </si>
  <si>
    <t>4 X 250T වතුර බට (S-LON)</t>
  </si>
  <si>
    <t>4 X CLASS 4 වතුර බට (S-LON)</t>
  </si>
  <si>
    <t>6 TUBE WELL වතුර බට (S-LON)</t>
  </si>
  <si>
    <t>ANTON PIPE</t>
  </si>
  <si>
    <t>S-LON PIPE</t>
  </si>
  <si>
    <t>1/2 වතුර බට(E.M.P)</t>
  </si>
  <si>
    <t>3/4 වතුර බට (E.M.P)</t>
  </si>
  <si>
    <t>EMP PIPE</t>
  </si>
  <si>
    <t>1 වතුර බට (E.M.P)</t>
  </si>
  <si>
    <t>1 1/2 වතුර බට (E.M.P) NORMAL</t>
  </si>
  <si>
    <t>1 1/2 X 600 වතුර බට (E.M.P)</t>
  </si>
  <si>
    <t>2 වතුර බට (E.M.P)</t>
  </si>
  <si>
    <t>2 X 600 වතුර බට (E.M.P)</t>
  </si>
  <si>
    <t>3 1/2 වතුර බට (E.M.P)</t>
  </si>
  <si>
    <t>4 වතුර බට (E.M.P)</t>
  </si>
  <si>
    <t>4 X 250 WATER METT වතුර බට (E.M.P)</t>
  </si>
  <si>
    <t>4 SPECIAL වතුර බට (S-LON)</t>
  </si>
  <si>
    <t>1 වතුර බට (PHOENIX)</t>
  </si>
  <si>
    <t>PHENIX</t>
  </si>
  <si>
    <t>වයරින් බට</t>
  </si>
  <si>
    <t xml:space="preserve">1/2 කන්ඩියුට් බට(කහ පාට)  </t>
  </si>
  <si>
    <t xml:space="preserve">3/4 කන්ඩියුට් බට(කහ පාට)  </t>
  </si>
  <si>
    <t xml:space="preserve">1 කන්ඩියුට් බට(කහ පාට)  </t>
  </si>
  <si>
    <t>KANDIUT</t>
  </si>
  <si>
    <t xml:space="preserve">1/2 කන්ඩියුට් බට POLIPEX </t>
  </si>
  <si>
    <t xml:space="preserve">1/2 කන්ඩියුට් බට POLYCROME NO:01 </t>
  </si>
  <si>
    <t>3/4 කන්ඩියුට් බට POLIPEX</t>
  </si>
  <si>
    <t>1 කන්ඩියුට් බට POLIPEX</t>
  </si>
  <si>
    <t>3/4 කන්ඩියුට් බට  POLYCROME NO:01</t>
  </si>
  <si>
    <t>1 කන්ඩියුට් බට  POLYCROME NO:01</t>
  </si>
  <si>
    <t>ටිනර් 1L</t>
  </si>
  <si>
    <t>ටිනර් 500ml</t>
  </si>
  <si>
    <t>ටිනර් 180ml</t>
  </si>
  <si>
    <t xml:space="preserve">ටිනර් බෝතල් </t>
  </si>
  <si>
    <t xml:space="preserve">ට(ර්)පන්ටයින් බෝතල් </t>
  </si>
  <si>
    <t>ට(ර්)පන්ටයින් 180ml</t>
  </si>
  <si>
    <t>ටිනර් 375ml</t>
  </si>
  <si>
    <t>ට(ර්)පන්ටයින් 375ml</t>
  </si>
  <si>
    <t xml:space="preserve">ORANGE 6W සිවිලිම </t>
  </si>
  <si>
    <t xml:space="preserve">ORANGE 12W සිවිලිම </t>
  </si>
  <si>
    <t xml:space="preserve">ORANGE 18W සිවිලිම </t>
  </si>
  <si>
    <t xml:space="preserve">ORANGE 24W සිවිලිම </t>
  </si>
  <si>
    <t xml:space="preserve">ORANGE 6W ස්ලැබ් </t>
  </si>
  <si>
    <t xml:space="preserve">ORANGE 12W ස්ලැබ් </t>
  </si>
  <si>
    <t xml:space="preserve">ORANGE 18W ස්ලැබ් </t>
  </si>
  <si>
    <t xml:space="preserve">ORANGE 24W ස්ලැබ් </t>
  </si>
  <si>
    <t>OR LIGHT</t>
  </si>
  <si>
    <t>ORANGE LIGHT</t>
  </si>
  <si>
    <t>ORANGE LED 3W</t>
  </si>
  <si>
    <t>ORANGE LED 5W</t>
  </si>
  <si>
    <t>ORANGE LED 7W</t>
  </si>
  <si>
    <t>ORANGE LED 9W</t>
  </si>
  <si>
    <t>ORANGE LED 12W</t>
  </si>
  <si>
    <t>ORANGE LED 20W</t>
  </si>
  <si>
    <t>ORANGE LED 30W</t>
  </si>
  <si>
    <t>ORANGE LED 40W</t>
  </si>
  <si>
    <t>ORANGE LED 50W</t>
  </si>
  <si>
    <t>12W ස්ලැබ්  (වගකීම් කාලය මාස 06)</t>
  </si>
  <si>
    <t xml:space="preserve">18W සිවිලිම (වගකීම් කාලය මාස 06) </t>
  </si>
  <si>
    <t xml:space="preserve">18W ස්ලැබ් (වගකීම් කාලය මාස 06) </t>
  </si>
  <si>
    <t xml:space="preserve">VEENUS  6W සිවිලිම (වගකීම් කාලය මාස 12) </t>
  </si>
  <si>
    <t>VEENUS 6W ස්ලැබ් (වගකීම් කාලය මාස 12)</t>
  </si>
  <si>
    <t xml:space="preserve">VEENUS  12W සිවිලිම (වගකීම් කාලය මාස 12) </t>
  </si>
  <si>
    <t>VEENUS 12W ස්ලැබ් (වගකීම් කාලය මාස 12)</t>
  </si>
  <si>
    <t xml:space="preserve">VEENUS  18W සිවිලිම (වගකීම් කාලය මාස 12) </t>
  </si>
  <si>
    <t>VEENUS 18W ස්ලැබ් (වගකීම් කාලය මාස 12)</t>
  </si>
  <si>
    <t>LGL 12W සිවිලිම BOUBLE LIGHT (වගකීම් කාලය මාස 24)</t>
  </si>
  <si>
    <t>LGL 12W ස්ලැබ් BOUBLE LIGHT (වගකීම් කාලය මාස 24)</t>
  </si>
  <si>
    <t>LGL 18W සිවිලිම BOUBLE LIGHT (වගකීම් කාලය මාස 24)</t>
  </si>
  <si>
    <t>LGL 18W ස්ලැබ් BOUBLE LIGHT (වගකීම් කාලය මාස 24)</t>
  </si>
  <si>
    <t>සිවිලින් ලයිට්</t>
  </si>
  <si>
    <t xml:space="preserve">3" සිට් ඇණ </t>
  </si>
  <si>
    <t xml:space="preserve">3 1/2" සිට් ඇණ </t>
  </si>
  <si>
    <t xml:space="preserve">4" සිට් ඇණ </t>
  </si>
  <si>
    <t>සිට් ඔෂර්</t>
  </si>
  <si>
    <t xml:space="preserve">නෝලික්  අඩි </t>
  </si>
  <si>
    <t xml:space="preserve">ටොයිලට් පෝච්චි </t>
  </si>
  <si>
    <t>TOILET</t>
  </si>
  <si>
    <t>20MM  1/2" ශොකට් ANTON</t>
  </si>
  <si>
    <t>25MM  3/4" ශොකට් ANTON</t>
  </si>
  <si>
    <t>32MM  1" ශොකට් ANTON</t>
  </si>
  <si>
    <t>40MM  1 1/4" ශොකට් ANTON</t>
  </si>
  <si>
    <t xml:space="preserve">50MM  1 1/2" ශොකට් ANTON </t>
  </si>
  <si>
    <t>63MM  2" ශොකට් ANTON</t>
  </si>
  <si>
    <t>75MM  2 1/2" ශොකට් ANTON</t>
  </si>
  <si>
    <t>90MM  3"  ශොකට් ANTON</t>
  </si>
  <si>
    <t>110MM  4"  ශොකට් ANTON</t>
  </si>
  <si>
    <t>63MM  2" වෑල්  ශොකට් ANTON</t>
  </si>
  <si>
    <t>110MM  4" වෑල් ශොකට් ANTON</t>
  </si>
  <si>
    <t>90MM  3" වෑල් ශොකට් ANTON</t>
  </si>
  <si>
    <t>75MM  2 1/2" වෑල් ශොකට් ANTON</t>
  </si>
  <si>
    <t xml:space="preserve">50MM  1 1/2" වෑල් ශොකට් ANTON </t>
  </si>
  <si>
    <t>40MM  1 1/4" වෑල් ශොකට් ANTON</t>
  </si>
  <si>
    <t>25MM  3/4" වෑල් ශොකට් ANTON</t>
  </si>
  <si>
    <t>20MM  1/2" වෑල් ශොකට් ANTON</t>
  </si>
  <si>
    <t>32MM  1" වෑල් ශොකට් ANTON</t>
  </si>
  <si>
    <t>20MM  1/2"පෝෂට් ශොකට් ANTON</t>
  </si>
  <si>
    <t>25MM  3/4"පෝෂට් ශොකට් ANTON</t>
  </si>
  <si>
    <t>32MM  1"පෝෂට් ශොකට් ANTON</t>
  </si>
  <si>
    <t>40MM  1 1/4"පෝෂට් ශොකට් ANTON</t>
  </si>
  <si>
    <t xml:space="preserve">50MM  1 1/2"පෝෂට් ශොකට් ANTON </t>
  </si>
  <si>
    <t>63MM  2"පෝෂට් ශොකට් ANTON</t>
  </si>
  <si>
    <t>75MM  2 1/2"පෝෂට් ශොකට් ANTON</t>
  </si>
  <si>
    <t>90MM  3" පෝෂට් ශොකට් ANTON</t>
  </si>
  <si>
    <t>110MM  4"පෝෂට්  ශොකට් ANTON</t>
  </si>
  <si>
    <t>20MM  1/2"එල් බෝ    ANTON</t>
  </si>
  <si>
    <t>25MM  3/4"එල් බෝ    ANTON</t>
  </si>
  <si>
    <t>32MM  1"එල් බෝ    ANTON</t>
  </si>
  <si>
    <t xml:space="preserve">50MM  1 1/2"එල් බෝ    ANTON </t>
  </si>
  <si>
    <t>63MM  2"එල් බෝ    ANTON</t>
  </si>
  <si>
    <t>75MM  2 1/2"එල් බෝ    ANTON</t>
  </si>
  <si>
    <t>90MM  3" එල් බෝ  ANTON</t>
  </si>
  <si>
    <t>110MM  4"එල් බෝ  ANTON</t>
  </si>
  <si>
    <t>20MM  1/2"ටී ANTON</t>
  </si>
  <si>
    <t>25MM  3/4"ටී ANTON</t>
  </si>
  <si>
    <t>32MM  1"ටී    ANTON</t>
  </si>
  <si>
    <t>40MM  1 1/4" ටී   ANTON</t>
  </si>
  <si>
    <t xml:space="preserve">50MM  1 1/2" ටී   ANTON </t>
  </si>
  <si>
    <t>63MM  2" ටී    ANTON</t>
  </si>
  <si>
    <t>75MM  2 1/2" ටී   ANTON</t>
  </si>
  <si>
    <t>90MM  3" ටී  ANTON</t>
  </si>
  <si>
    <t>110MM  4" ටී   ANTON</t>
  </si>
  <si>
    <t>20MM  1/2" N-CAP ANTON</t>
  </si>
  <si>
    <t>25MM  3/4"N-CAP ANTON</t>
  </si>
  <si>
    <t>32MM  1"N-CAP ANTON</t>
  </si>
  <si>
    <t>40MM  1 1/4" N-CAP ANTON</t>
  </si>
  <si>
    <t xml:space="preserve">50MM  1 1/2" N-CAP ANTON </t>
  </si>
  <si>
    <t>63MM  2" N-CAP ANTON</t>
  </si>
  <si>
    <t>75MM  2 1/2" N-CAP ANTON</t>
  </si>
  <si>
    <t>90MM  3" N-CAP ANTON</t>
  </si>
  <si>
    <t>110MM  4" N-CAP  ANTON</t>
  </si>
  <si>
    <t>40MM  1 1/4"එල් බෝ  ANTON</t>
  </si>
  <si>
    <t>20MM  1/2"එල් බෝ 45^ ANTON</t>
  </si>
  <si>
    <t>25MM  3/4"එල් බෝ 45^ ANTON</t>
  </si>
  <si>
    <t>32MM  1"එල් බෝ 45^ ANTON</t>
  </si>
  <si>
    <t>40MM  1 1/4" එල් බෝ 45^ ANTON</t>
  </si>
  <si>
    <t xml:space="preserve">50MM  1 1/2" එල් බෝ 45^ ANTON </t>
  </si>
  <si>
    <t>63MM  2" එල් බෝ 45^ ANTON</t>
  </si>
  <si>
    <t>20MM  1/2" ශොකට් S-LON</t>
  </si>
  <si>
    <t>25MM  3/4" ශොකට්  S-LON</t>
  </si>
  <si>
    <t>32MM  1" ශොකට්  S-LON</t>
  </si>
  <si>
    <t>40MM  1 1/4" ශොකට්  S-LON</t>
  </si>
  <si>
    <t>50MM  1 1/2" ශොකට්  S-LON</t>
  </si>
  <si>
    <t>63MM  2" ශොකට්  S-LON</t>
  </si>
  <si>
    <t>75MM  2 1/2" ශොකට්  S-LON</t>
  </si>
  <si>
    <t>90MM  3"  ශොකට්  S-LON</t>
  </si>
  <si>
    <t>110MM  4"  ශොකට් S-LON</t>
  </si>
  <si>
    <t>20MM  1/2" වෑල් ශොකට්  S-LON</t>
  </si>
  <si>
    <t>25MM  3/4" වෑල් ශොකට්  S-LON</t>
  </si>
  <si>
    <t>32MM  1" වෑල් ශොකට්  S-LON</t>
  </si>
  <si>
    <t>40MM  1 1/4" වෑල් ශොකට්  S-LON</t>
  </si>
  <si>
    <t xml:space="preserve">50MM  1 1/2" වෑල් ශොකට් S-LON </t>
  </si>
  <si>
    <t>63MM  2" වෑල්  ශොකට්  S-LON</t>
  </si>
  <si>
    <t>75MM  2 1/2" වෑල් ශොකට්  S-LON</t>
  </si>
  <si>
    <t>90MM  3" වෑල් ශොකට්  S-LON</t>
  </si>
  <si>
    <t>110MM  4" වෑල් ශොකට්  S-LON</t>
  </si>
  <si>
    <t>20MM  1/2"පෝෂට් ශොකට්  S-LON</t>
  </si>
  <si>
    <t>25MM  3/4"පෝෂට් ශොකට් S-LON</t>
  </si>
  <si>
    <t>32MM  1"පෝෂට් ශොකට්  S-LON</t>
  </si>
  <si>
    <t>40MM  1 1/4"පෝෂට් ශොකට්  S-LON</t>
  </si>
  <si>
    <t>50MM  1 1/2"පෝෂට් ශොකට්  S-LON</t>
  </si>
  <si>
    <t>63MM  2"පෝෂට් ශොකට්  S-LON</t>
  </si>
  <si>
    <t>75MM  2 1/2"පෝෂට් ශොකට්  S-LON</t>
  </si>
  <si>
    <t>90MM  3" පෝෂට් ශොකට්  S-LON</t>
  </si>
  <si>
    <t>110MM  4"පෝෂට්  ශොකට්  S-LON</t>
  </si>
  <si>
    <t>20MM  1/2"එල් බෝ     S-LON</t>
  </si>
  <si>
    <t>25MM  3/4"එල් බෝ     S-LON</t>
  </si>
  <si>
    <t>32MM  1"එල් බෝ    S-LON</t>
  </si>
  <si>
    <t>40MM  1 1/4"එල් බෝ  S-LON</t>
  </si>
  <si>
    <t>50MM  1 1/2"එල් බෝ   S-LON</t>
  </si>
  <si>
    <t>63MM  2"එල් බෝ  S-LON</t>
  </si>
  <si>
    <t>75MM  2 1/2"එල් බෝ   S-LON</t>
  </si>
  <si>
    <t>90MM  3" එල් බෝ  S-LON</t>
  </si>
  <si>
    <t>110MM  4"එල් බෝ  S-LON</t>
  </si>
  <si>
    <t>20MM  1/2"ටී  S-LON</t>
  </si>
  <si>
    <t>25MM  3/4"ටී  S-LON</t>
  </si>
  <si>
    <t>32MM  1"ටී   S-LON</t>
  </si>
  <si>
    <t>40MM  1 1/4" ටී    S-LON</t>
  </si>
  <si>
    <t>50MM  1 1/2" ටී   S-LON</t>
  </si>
  <si>
    <t>63MM  2" ටී   S-LON</t>
  </si>
  <si>
    <t>75MM  2 1/2" ටී   S-LON</t>
  </si>
  <si>
    <t>90MM  3" ටී   S-LON</t>
  </si>
  <si>
    <t>110MM  4" ටී  S-LON</t>
  </si>
  <si>
    <t>20MM  1/2"එල් බෝ 45^  S-LON</t>
  </si>
  <si>
    <t>25MM  3/4"එල් බෝ 45^  S-LON</t>
  </si>
  <si>
    <t>32MM  1"එල් බෝ 45^  S-LON</t>
  </si>
  <si>
    <t>40MM  1 1/4" එල් බෝ 45^  S-LON</t>
  </si>
  <si>
    <t>50MM  1 1/2" එල් බෝ 45^  S-LON</t>
  </si>
  <si>
    <t>63MM  2" එල් බෝ 45^  S-LON</t>
  </si>
  <si>
    <t>20MM  1/2" N-CAP  (S-LON)</t>
  </si>
  <si>
    <t>25MM  3/4"N-CAP  (S-LON)</t>
  </si>
  <si>
    <t>32MM  1"N-CAP  (S-LON)</t>
  </si>
  <si>
    <t>40MM  1 1/4" N-CAP  (S-LON)</t>
  </si>
  <si>
    <t xml:space="preserve">50MM  1 1/2" N-CAP (S-LON) </t>
  </si>
  <si>
    <t>63MM  2" N-CAP (S-LON)</t>
  </si>
  <si>
    <t>75MM  2 1/2" N-CAP  (S-LON)</t>
  </si>
  <si>
    <t>90MM  3" N-CAP  (S-LON)</t>
  </si>
  <si>
    <t>110MM  4" N-CAP   (S-LON)</t>
  </si>
  <si>
    <t>20MM  1/2" ශොකට් PHOENIX</t>
  </si>
  <si>
    <t>25MM  3/4" ශොකට්  PHOENIX</t>
  </si>
  <si>
    <t>32MM  1" ශොකට්  PHOENIX</t>
  </si>
  <si>
    <t>40MM  1 1/4" ශොකට්  PHOENIX</t>
  </si>
  <si>
    <t>50MM  1 1/2" ශොකට් PHOENIX</t>
  </si>
  <si>
    <t>63MM  2" ශොකට්  PHOENIX</t>
  </si>
  <si>
    <t>75MM  2 1/2" ශොකට්  PHOENIX</t>
  </si>
  <si>
    <t>90MM  3"  ශොකට් PHOENIX</t>
  </si>
  <si>
    <t>110MM  4"  ශොකට් PHOENIX</t>
  </si>
  <si>
    <t>20MM  1/2" වෑල් ශොකට්  PHOENIX</t>
  </si>
  <si>
    <t>25MM  3/4" වෑල් ශොකට්  PHOENIX</t>
  </si>
  <si>
    <t>32MM  1" වෑල් ශොකට්  PHOENIX</t>
  </si>
  <si>
    <t>40MM  1 1/4" වෑල් ශොකට්  PHOENIX</t>
  </si>
  <si>
    <t xml:space="preserve">50MM  1 1/2" වෑල් ශොකට් PHOENIX </t>
  </si>
  <si>
    <t>63MM  2" වෑල්  ශොකට්  PHOENIX</t>
  </si>
  <si>
    <t>75MM  2 1/2" වෑල් ශොකට්  PHOENIX</t>
  </si>
  <si>
    <t>90MM  3" වෑල් ශොකට් PHOENIX</t>
  </si>
  <si>
    <t>110MM  4" වෑල් ශොකට්  PHOENIX</t>
  </si>
  <si>
    <t>20MM  1/2"පෝෂට් ශොකට්  PHOENIX</t>
  </si>
  <si>
    <t>25MM  3/4"පෝෂට් ශොකට් PHOENIX</t>
  </si>
  <si>
    <t>32MM  1"පෝෂට් ශොකට්  PHOENIX</t>
  </si>
  <si>
    <t>40MM  1 1/4"පෝෂට් ශොකට්  PHOENIX</t>
  </si>
  <si>
    <t>50MM  1 1/2"පෝෂට් ශොකට්  PHOENIX</t>
  </si>
  <si>
    <t>63MM  2"පෝෂට් ශොකට්  PHOENIX</t>
  </si>
  <si>
    <t>75MM  2 1/2"පෝෂට් ශොකට්  PHOENIX</t>
  </si>
  <si>
    <t>90MM  3" පෝෂට් ශොකට්  PHOENIX</t>
  </si>
  <si>
    <t>110MM  4"පෝෂට්  ශොකට් PHOENIX</t>
  </si>
  <si>
    <t>20MM  1/2"එල් බෝ   PHOENIX</t>
  </si>
  <si>
    <t>25MM  3/4"එල් බෝ  PHOENIX</t>
  </si>
  <si>
    <t>32MM  1"එල් බෝ   PHOENIX</t>
  </si>
  <si>
    <t>40MM  1 1/4"එල් බෝ  PHOENIX</t>
  </si>
  <si>
    <t>50MM  1 1/2"එල් බෝ   PHOENIX</t>
  </si>
  <si>
    <t>63MM  2"එල් බෝ  PHOENIX</t>
  </si>
  <si>
    <t>110MM  4"එල් බෝ  PHOENIX</t>
  </si>
  <si>
    <t>20MM  1/2"ටී  PHOENIX</t>
  </si>
  <si>
    <t>25MM  3/4"ටී PHOENIX</t>
  </si>
  <si>
    <t>32MM  1"ටී   PHOENIX</t>
  </si>
  <si>
    <t>40MM  1 1/4" ටී PHOENIX</t>
  </si>
  <si>
    <t>50MM  1 1/2" ටී  PHOENIX</t>
  </si>
  <si>
    <t>63MM  2" ටී   PHOENIX</t>
  </si>
  <si>
    <t>75MM  2 1/2" ටී   PHOENIX</t>
  </si>
  <si>
    <t>90MM  3" ටී   PHOENIX</t>
  </si>
  <si>
    <t>110MM  4" ටී  PHOENIX</t>
  </si>
  <si>
    <t>20MM  1/2" N-CAP  (PHOENIX)</t>
  </si>
  <si>
    <t>25MM  3/4"N-CAP  (PHOENIX)</t>
  </si>
  <si>
    <t>32MM  1"N-CAP  (PHOENIX)</t>
  </si>
  <si>
    <t>40MM  1 1/4" N-CAP  (PHOENIX)</t>
  </si>
  <si>
    <t xml:space="preserve">50MM  1 1/2" N-CAP (PHOENIX) </t>
  </si>
  <si>
    <t>63MM  2" N-CAP (PHOENIX)</t>
  </si>
  <si>
    <t>75MM  2 1/2" N-CAP  (PHOENIX)</t>
  </si>
  <si>
    <t>90MM  3" N-CAP  (PHOENIX)</t>
  </si>
  <si>
    <t>110MM  4" N-CAP   (PHOENIX)</t>
  </si>
  <si>
    <t>20MM  1/2"එල් බෝ 45^  PHOENIX</t>
  </si>
  <si>
    <t>25MM  3/4"එල් බෝ 45^  PHOENIX</t>
  </si>
  <si>
    <t>32MM  1"එල් බෝ 45^ PHOENIX</t>
  </si>
  <si>
    <t>40MM  1 1/4" එල් බෝ 45^  PHOENIX</t>
  </si>
  <si>
    <t>50MM  1 1/2" එල් බෝ 45^  PHOENIX</t>
  </si>
  <si>
    <t>63MM  2" එල් බෝ 45^  PHOENIX</t>
  </si>
  <si>
    <t>-</t>
  </si>
  <si>
    <t>25mm x 20mm (3/4"x1/2")  R-ශොකට් S-LON</t>
  </si>
  <si>
    <t>32mm x 20mm (1"x1/2")  R-ශොකට් S-LON</t>
  </si>
  <si>
    <t>32mm x 25mm (1"x3/4")  R-ශොකට් S-LON</t>
  </si>
  <si>
    <t>40mm x 20mm (1 1/4"x1/2")  R-ශොකට් S-LON</t>
  </si>
  <si>
    <t>40mm x 25mm (1 1/4"x3/4")  R-ශොකට් S-LON</t>
  </si>
  <si>
    <t>40mm x 32mm (1 1/4"x1")  R-ශොකට් S-LON</t>
  </si>
  <si>
    <t>50mm x 20mm (1 1/2"x1/2")  R-ශොකට් S-LON</t>
  </si>
  <si>
    <t>50mm x 25mm (1 1/2"x3/4")  R-ශොකට් S-LON</t>
  </si>
  <si>
    <t>50mm x 32mm (1 1/2"x1")  R-ශොකට් S-LON</t>
  </si>
  <si>
    <t>50mm x 40mm (1 1/2"x1 1/4")  R-ශොකට් S-LON</t>
  </si>
  <si>
    <t>63mm x 20mm (2"x1/2")  R-ශොකට් S-LON</t>
  </si>
  <si>
    <t>63mm x 25mm (2"x3/4")  R-ශොකට් S-LON</t>
  </si>
  <si>
    <t>63mm x 32mm (2"x1")  R-ශොකට් S-LON</t>
  </si>
  <si>
    <t>63mm x 40mm (2"x1 1/4")  R-ශොකට් S-LON</t>
  </si>
  <si>
    <t>63mm x 50mm (2"x1 1/2")  R-ශොකට් S-LON</t>
  </si>
  <si>
    <t>75mm x 40mm (2 1/2"x1 1/4")  R-ශොකට් S-LON</t>
  </si>
  <si>
    <t>75mm x 32mm (2 1/2"x1")  R-ශොකට් S-LON</t>
  </si>
  <si>
    <t>75mm x 50mm (2 1/2"x1 1/2")  R-ශොකට් S-LON</t>
  </si>
  <si>
    <t>75mm x 63mm (2 1/2"x2")  R-ශොකට් S-LON</t>
  </si>
  <si>
    <t>90mm x 40mm (3"x1 1/4")  R-ශොකට් S-LON</t>
  </si>
  <si>
    <t>90mm x 50mm (3"x1 1/2")  R-ශොකට් S-LON</t>
  </si>
  <si>
    <t>90mm x 63mm (3"x 2")  R-ශොකට් S-LON</t>
  </si>
  <si>
    <t>90mm x 75mm (3"x2 1/2")  R-ශොකට් S-LON</t>
  </si>
  <si>
    <t>110mm x 50mm (4"x1 1/2")  R-ශොකට් S-LON</t>
  </si>
  <si>
    <t>110mm x 63mm (4"x 2")  R-ශොකට් S-LON</t>
  </si>
  <si>
    <t>110mm x 75mm (4"x2 1/2")  R-ශොකට් S-LON</t>
  </si>
  <si>
    <t>110mm x 90mm (4"x 3")  R-ශොකට් S-LON</t>
  </si>
  <si>
    <t>12W සිවිලිම  (වගකීම් කාලය මාස 06)</t>
  </si>
  <si>
    <t>ORIN</t>
  </si>
  <si>
    <t>5W ORIN LED</t>
  </si>
  <si>
    <t>7W ORIN LED</t>
  </si>
  <si>
    <t>9W ORIN LED</t>
  </si>
  <si>
    <t>12W ORIN LED</t>
  </si>
  <si>
    <t>15W ORIN LED</t>
  </si>
  <si>
    <t>18W ORIN LED</t>
  </si>
  <si>
    <t>22W ORIN LED</t>
  </si>
  <si>
    <t>40W ORIN LED</t>
  </si>
  <si>
    <t>50W ORIN LED</t>
  </si>
  <si>
    <t>60W ORIN LED</t>
  </si>
  <si>
    <t xml:space="preserve">LED බල්බ් </t>
  </si>
  <si>
    <t>ගෙඩි  බල්බ් 40W</t>
  </si>
  <si>
    <t>ගෙඩි  බල්බ් 60W</t>
  </si>
  <si>
    <t>ගෙඩි  බල්බ් 75W</t>
  </si>
  <si>
    <t>ගෙඩි  බල්බ් 100W</t>
  </si>
  <si>
    <t>GEDI BULB</t>
  </si>
  <si>
    <t xml:space="preserve">වැලිකොල රයිනෝ </t>
  </si>
  <si>
    <t xml:space="preserve">වැලිකොල රයිනෝ අඩු </t>
  </si>
  <si>
    <t xml:space="preserve">වැලිකොල රයිනෝ අඩියක් </t>
  </si>
  <si>
    <t>වැලිකොල</t>
  </si>
  <si>
    <t>වැලිකොල කිඹුලා</t>
  </si>
  <si>
    <t>වැලිකොල Nippon</t>
  </si>
  <si>
    <t xml:space="preserve">වැලිකොල   4" පළල අඩියක් </t>
  </si>
  <si>
    <t xml:space="preserve">වැලිකොල   6" පළල අඩියක් </t>
  </si>
  <si>
    <t>walikola</t>
  </si>
  <si>
    <t xml:space="preserve">වැලිකොල කිඹුලා 4" අඩියක් </t>
  </si>
  <si>
    <t xml:space="preserve">වැලිකොල කිඹුලා 4 1/2" අඩියක් </t>
  </si>
  <si>
    <t>1/2" පින්සල් Hifi</t>
  </si>
  <si>
    <t>1/2" පින්සල් Nippon</t>
  </si>
  <si>
    <t>1/2" පින්සල් Multilac</t>
  </si>
  <si>
    <t>1/2" පින්සල් JAT</t>
  </si>
  <si>
    <t>1" පින්සල් Maltilac</t>
  </si>
  <si>
    <t>1" පින්සල් Nippon</t>
  </si>
  <si>
    <t>1" පින්සල් JAT</t>
  </si>
  <si>
    <t>1 1/2" පින්සල් JAT</t>
  </si>
  <si>
    <t>2" පින්සල් Nippon</t>
  </si>
  <si>
    <t>2" පින්සල් Multilac</t>
  </si>
  <si>
    <t>පින්සල්</t>
  </si>
  <si>
    <t>BRUSH</t>
  </si>
  <si>
    <t>2" පින්සල් JAT (WATER BASE)</t>
  </si>
  <si>
    <t xml:space="preserve">2" පින්සල් Harris </t>
  </si>
  <si>
    <t>2 1/2" පින්සල් Nippon</t>
  </si>
  <si>
    <t xml:space="preserve">2 1/2" පින්සල් Multilac </t>
  </si>
  <si>
    <t>2 1/2" පින්සල් JAT (WATER BASE)</t>
  </si>
  <si>
    <t>BAINDIN</t>
  </si>
  <si>
    <t>බයින්ඩින් කම්බි 1Kg</t>
  </si>
  <si>
    <t>3" පින්සල් Nippon</t>
  </si>
  <si>
    <t xml:space="preserve">Nippon පොටි කොට්ට </t>
  </si>
  <si>
    <t xml:space="preserve">ඩිලැක්ස් පොටි කොට්ට </t>
  </si>
  <si>
    <t xml:space="preserve">ලංවා පොටි කොට්ට </t>
  </si>
  <si>
    <t xml:space="preserve">සිරෙක්ස්ටා පොටි කොට්ට </t>
  </si>
  <si>
    <t xml:space="preserve">නිපොපෙක්ස් පොටි කොට්ට </t>
  </si>
  <si>
    <t xml:space="preserve">S.M.S.  පොටි කොට්ට </t>
  </si>
  <si>
    <t>පොටි 1Kg</t>
  </si>
  <si>
    <t>POTTY</t>
  </si>
  <si>
    <t xml:space="preserve">සියෙස්ටා ටයිල් මෝටා </t>
  </si>
  <si>
    <t xml:space="preserve">ඉකොපෙක්ස්  පොටි කොට්ට </t>
  </si>
  <si>
    <t xml:space="preserve">ටයිල් මෝටා ඇඩිසිව් </t>
  </si>
  <si>
    <t>MOTA</t>
  </si>
  <si>
    <t xml:space="preserve">ලංවා ටයිල් මෝටා </t>
  </si>
  <si>
    <t>ටයිල් මෝටා 1Kg</t>
  </si>
  <si>
    <t>KAMBI</t>
  </si>
  <si>
    <t xml:space="preserve">8mm දගර කම්බි  </t>
  </si>
  <si>
    <t xml:space="preserve">10mm දගර  කම්බි  </t>
  </si>
  <si>
    <t xml:space="preserve">12mm දගර කම්බි </t>
  </si>
  <si>
    <t xml:space="preserve">5.3mm 1/4 කූරු </t>
  </si>
  <si>
    <t>5.5mm 1/4 කූරු</t>
  </si>
  <si>
    <t>6mm 1/4 කූරු</t>
  </si>
  <si>
    <t xml:space="preserve">4.8mm 1/4 කූරු </t>
  </si>
  <si>
    <t xml:space="preserve">8mm ඔයිල් කූරු ප්ලේන්  </t>
  </si>
  <si>
    <t xml:space="preserve">12mm ඔයිල් කූරු ප්ලේන්  </t>
  </si>
  <si>
    <t xml:space="preserve">16mm ඔයිල් කූරු ප්ලේන්  </t>
  </si>
  <si>
    <t>කම්බි කූරු</t>
  </si>
  <si>
    <t xml:space="preserve">8mm ප්ලේන් කූරු අඩු </t>
  </si>
  <si>
    <t xml:space="preserve">10mm ප්ලේන් කූරු අඩු </t>
  </si>
  <si>
    <t xml:space="preserve">12mm ප්ලේන් කූරු අඩු </t>
  </si>
  <si>
    <t xml:space="preserve">16mm ප්ලේන් කූරු අඩු </t>
  </si>
  <si>
    <t xml:space="preserve">10mm පොලිෂ් කූරු  </t>
  </si>
  <si>
    <t xml:space="preserve">12mm පොලිෂ් කූරු  </t>
  </si>
  <si>
    <t xml:space="preserve">16mm පොලිෂ් කූරු  </t>
  </si>
  <si>
    <t>1/4 කොයිල් 1Kg</t>
  </si>
  <si>
    <t>කාබයිට් කූරු 1Kg</t>
  </si>
  <si>
    <t>කාබයිට් 1Kg</t>
  </si>
  <si>
    <t>J - හුක්ස් 1Kg</t>
  </si>
  <si>
    <t>කටු කම්බි නවන කූරු 1Kg</t>
  </si>
  <si>
    <t>කටු කම්බි</t>
  </si>
  <si>
    <t>කටු කම්බි 10Kg</t>
  </si>
  <si>
    <t>කටු කම්බි 15Kg</t>
  </si>
  <si>
    <t>කටු කම්බි 20Kg</t>
  </si>
  <si>
    <t>කටු කම්බි 25Kg</t>
  </si>
  <si>
    <t xml:space="preserve">6 x 6 සිරප් </t>
  </si>
  <si>
    <t xml:space="preserve">6 x 9 සිරප් </t>
  </si>
  <si>
    <t xml:space="preserve">9 x 9 සිරප් </t>
  </si>
  <si>
    <t>තුන් හුලස් සිරප්</t>
  </si>
  <si>
    <t>SIRAP</t>
  </si>
  <si>
    <t>වෙල්ඩින් කූරු 1Kg</t>
  </si>
  <si>
    <t xml:space="preserve">නිපොපෙක්ස් ටයිල් මෝටා </t>
  </si>
  <si>
    <t>ඩිලැක්ස් ටයිල් මෝටා (20Kg)</t>
  </si>
  <si>
    <t xml:space="preserve">8mm ඔයිල් කූරු ප්ලේන් අඩියක් </t>
  </si>
  <si>
    <t xml:space="preserve">10mm ඔයිල් කූරු ප්ලේන් අඩියක් </t>
  </si>
  <si>
    <t xml:space="preserve">12mm ඔයිල් කූරු ප්ලේන් අඩියක් </t>
  </si>
  <si>
    <t xml:space="preserve">සුදු යකඩ කූරු </t>
  </si>
  <si>
    <t xml:space="preserve">අඩි 06 රැම්කො සීට් </t>
  </si>
  <si>
    <t xml:space="preserve">අඩි 08 රැම්කො සීට් </t>
  </si>
  <si>
    <t xml:space="preserve">අඩි 10 රැම්කො සීට් </t>
  </si>
  <si>
    <t xml:space="preserve">අඩි 12 රැම්කො සීට් </t>
  </si>
  <si>
    <t>RAMCO</t>
  </si>
  <si>
    <t>4 X 4 සීට්</t>
  </si>
  <si>
    <t>KABAYIT</t>
  </si>
  <si>
    <t>KATU KAMBI</t>
  </si>
  <si>
    <t>WELDIN</t>
  </si>
  <si>
    <t xml:space="preserve">10mm ප්ලේන් කූරු අඩු අඩියක් </t>
  </si>
  <si>
    <t>12mm ප්ලේන් කූරු අඩු අඩියක්</t>
  </si>
  <si>
    <t>16mm ප්ලේන් කූරු අඩු අඩියක්</t>
  </si>
  <si>
    <t>10mm පොලිෂ් කූරු අඩියක්</t>
  </si>
  <si>
    <t xml:space="preserve">12mm පොලිෂ් කූරු අඩියක් </t>
  </si>
  <si>
    <t>1 1/2" පින්සල් Multilac</t>
  </si>
  <si>
    <t>3" පින්සල් JAT (WATER BASE)</t>
  </si>
  <si>
    <t>4" පින්සල් Nippon</t>
  </si>
  <si>
    <t>4" පින්සල් Multilac</t>
  </si>
  <si>
    <t>4" පින්සල් JAT (WATER BASE)</t>
  </si>
  <si>
    <t>5" පින්සල් Nippon</t>
  </si>
  <si>
    <t>5" පින්සල් Multilac</t>
  </si>
  <si>
    <t>5" පින්සල් JAT (WATER BASE)</t>
  </si>
  <si>
    <t>2" පින්සල් Multilac (WATER BASE)</t>
  </si>
  <si>
    <t>3" පින්සල් Multilac (WATER BASE)</t>
  </si>
  <si>
    <t>Nippon රෝල් බ්‍රෂ් 09"</t>
  </si>
  <si>
    <t xml:space="preserve">රෝල් බ්‍රෂ් </t>
  </si>
  <si>
    <t>Multilac රෝල් බ්‍රෂ් 09"</t>
  </si>
  <si>
    <t>Halls රෝල් බ්‍රෂ් 09"</t>
  </si>
  <si>
    <t>නෝමල් රෝල් බ්‍රෂ් 09"</t>
  </si>
  <si>
    <r>
      <rPr>
        <b/>
        <i/>
        <sz val="9"/>
        <color theme="1"/>
        <rFont val="Calibri"/>
        <family val="2"/>
        <scheme val="minor"/>
      </rPr>
      <t xml:space="preserve">JAT </t>
    </r>
    <r>
      <rPr>
        <b/>
        <sz val="9"/>
        <color theme="1"/>
        <rFont val="Calibri"/>
        <family val="2"/>
        <scheme val="minor"/>
      </rPr>
      <t>රෝල් බ්‍රෂ් 09"</t>
    </r>
  </si>
  <si>
    <t>බේබි රෝල් බ්‍රෂ් 04"</t>
  </si>
  <si>
    <t xml:space="preserve"> රෝල් බ්‍රෂ් කොපු  04"</t>
  </si>
  <si>
    <t xml:space="preserve"> රෝල් බ්‍රෂ් කොපු   09"</t>
  </si>
  <si>
    <t>ROLLER</t>
  </si>
  <si>
    <t>TINNER</t>
  </si>
  <si>
    <t>ටිනර්</t>
  </si>
  <si>
    <t xml:space="preserve">3  මෙල්වා සොයිබ </t>
  </si>
  <si>
    <t xml:space="preserve">4  මෙල්වා සොයිබ </t>
  </si>
  <si>
    <t xml:space="preserve">6  මෙල්වා සොයිබ </t>
  </si>
  <si>
    <t xml:space="preserve">8  මෙල්වා සොයිබ </t>
  </si>
  <si>
    <t xml:space="preserve">10  මෙල්වා සොයිබ </t>
  </si>
  <si>
    <t xml:space="preserve">12  මෙල්වා සොයිබ </t>
  </si>
  <si>
    <t xml:space="preserve">24  මෙල්වා සොයිබ </t>
  </si>
  <si>
    <t>MELWA</t>
  </si>
  <si>
    <t>LANKA</t>
  </si>
  <si>
    <t>MELWA S</t>
  </si>
  <si>
    <t>160MM  6"එල් බෝ PHOENIX</t>
  </si>
  <si>
    <t>හුලං කොකු(කේස්මන් )</t>
  </si>
  <si>
    <t xml:space="preserve">කදන් ලොක්(පාස්මන් ) </t>
  </si>
  <si>
    <t xml:space="preserve">මුදු </t>
  </si>
  <si>
    <t>රවුම් හුලං කොකු</t>
  </si>
  <si>
    <t xml:space="preserve">ස්ප්‍රින් සොයිබ </t>
  </si>
  <si>
    <t xml:space="preserve">මෙල්වා හතරැස් කදන් ලොක් (පාස්මන්) </t>
  </si>
  <si>
    <t xml:space="preserve">මෙල්වා හතරැස් හුලං කොකු(කේස්මන් ) </t>
  </si>
  <si>
    <t>MELWA BOX</t>
  </si>
  <si>
    <t xml:space="preserve">MELWA </t>
  </si>
  <si>
    <t>ගුළු ඇන සෙට්(ෆෑන් ලයිට් )</t>
  </si>
  <si>
    <t>25mm x 20mm (3/4"x1/2")  R-ටී S-LON</t>
  </si>
  <si>
    <t>32mm x 20mm (1"x1/2")  R-ටී S-LON</t>
  </si>
  <si>
    <t>32mm x 25mm (1"x3/4")  R-ටී S-LON</t>
  </si>
  <si>
    <t>40mm x 20mm (1 1/4"x1/2")  R-ටී S-LON</t>
  </si>
  <si>
    <t>40mm x 25mm (1 1/4"x3/4")  R-ටී S-LON</t>
  </si>
  <si>
    <t>40mm x 32mm (1 1/4"x1")  R-ටී S-LON</t>
  </si>
  <si>
    <t>50mm x 20mm (1 1/2"x1/2")  R-ටී S-LON</t>
  </si>
  <si>
    <t>50mm x 25mm (1 1/2"x3/4")  R-ටී S-LON</t>
  </si>
  <si>
    <t>50mm x 32mm (1 1/2"x1")  R-ටී S-LON</t>
  </si>
  <si>
    <t>50mm x 40mm (1 1/2"x1 1/4")  R-ටී S-LON</t>
  </si>
  <si>
    <t>63mm x 20mm (2"x1/2")  R-ටී S-LON</t>
  </si>
  <si>
    <t>63mm x 25mm (2"x3/4")  R-ටී S-LON</t>
  </si>
  <si>
    <t>63mm x 32mm (2"x1")  R-ටී S-LON</t>
  </si>
  <si>
    <t>63mm x 40mm (2"x1 1/4")  R-ටී S-LON</t>
  </si>
  <si>
    <t>63mm x 50mm (2"x1 1/2")  R-ටී S-LON</t>
  </si>
  <si>
    <t>75mm x 32mm (2 1/2"x1")  R-ටී S-LON</t>
  </si>
  <si>
    <t>75mm x 40mm (2 1/2"x1 1/4")  R-ටී S-LON</t>
  </si>
  <si>
    <t>75mm x 50mm (2 1/2"x1 1/2")  R-ටී S-LON</t>
  </si>
  <si>
    <t>75mm x 63mm (2 1/2"x2")  R-ටී S-LON</t>
  </si>
  <si>
    <t>90mm x 40mm (3"x1 1/4")  R-ටී S-LON</t>
  </si>
  <si>
    <t>90mm x 50mm (3"x1 1/2")  R-ටී S-LON</t>
  </si>
  <si>
    <t>90mm x 63mm (3"x 2")  R-ටී S-LON</t>
  </si>
  <si>
    <t>90mm x 75mm (3"x2 1/2")  R-ටී S-LON</t>
  </si>
  <si>
    <t>110mm x 50mm (4"x1 1/2")  R-ටී S-LON</t>
  </si>
  <si>
    <t>110mm x 63mm (4"x 2")  R-ටී S-LON</t>
  </si>
  <si>
    <t>110mm x 75mm (4"x2 1/2")  R-ටී S-LON</t>
  </si>
  <si>
    <t>PATTAM</t>
  </si>
  <si>
    <t>1/4 x 1/2   5mm (අඩි 13 ) පට්ටම්</t>
  </si>
  <si>
    <t xml:space="preserve">1/4 x 1/2   5mm (අඩි 13 ) පට්ටම් අඩියක් </t>
  </si>
  <si>
    <t>1/4 x 1/2   5mm (අඩි 20 ) පට්ටම්</t>
  </si>
  <si>
    <t xml:space="preserve">1/4 x 1/2   5mm (අඩි 20 ) පට්ටම් අඩියක් </t>
  </si>
  <si>
    <t>1/4 x 1/2   6mm (අඩි 19 ) පට්ටම්</t>
  </si>
  <si>
    <t>1/4 x 1/2   6mm (අඩි 19 ) පට්ටම් අඩියක්</t>
  </si>
  <si>
    <t>3/4 x 1/4   5mm (අඩි 13 ) පට්ටම්</t>
  </si>
  <si>
    <t>3/4 x 1/4   5mm (අඩි 13 ) පට්ටම් අඩියක්</t>
  </si>
  <si>
    <t>3/4 x 1/4   6mm (අඩි 19 ) පට්ටම්</t>
  </si>
  <si>
    <t>3/4 x 1/4   6mm (අඩි 19 ) පට්ටම් අඩියක්</t>
  </si>
  <si>
    <t>1 x 1/4       5mm (අඩි 13 ) පට්ටම්</t>
  </si>
  <si>
    <t>1 x 1/4       5mm (අඩි 13 ) පට්ටම් අඩියක්</t>
  </si>
  <si>
    <t>1 x 1/4       6mm (අඩි 19 ) පට්ටම්</t>
  </si>
  <si>
    <t>1 x 1/4       6mm (අඩි 19 ) පට්ටම් අඩියක්</t>
  </si>
  <si>
    <t>1 1/2 x 1/4 5mm(අඩි 13 ) පට්ටම්</t>
  </si>
  <si>
    <t>1 1/2 x 1/4 5mm(අඩි 13 ) පට්ටම් අඩියක්</t>
  </si>
  <si>
    <t>1 1/2 x 1/4 6mm(අඩි 13 ) පට්ටම්</t>
  </si>
  <si>
    <t>1 1/2 x 1/4 6mm(අඩි 13 ) පට්ටම් අඩියක්</t>
  </si>
  <si>
    <t>1 1/2 x 3/8   (අඩි 19 ) පට්ටම්</t>
  </si>
  <si>
    <t>1 1/2 x 3/8   (අඩි 19 ) පට්ටම් අඩියක්</t>
  </si>
  <si>
    <t>2 x 1/4      5mm (අඩි 13 ) පට්ටම්</t>
  </si>
  <si>
    <t>2 x 1/4      5mm (අඩි 13 ) පට්ටම් අඩියක්</t>
  </si>
  <si>
    <t>2 x 1/4      6mm (අඩි 19 ) පට්ටම්</t>
  </si>
  <si>
    <t>2 x 1/4      6mm (අඩි 19 ) පට්ටම් අඩියක්</t>
  </si>
  <si>
    <t>2 x 3/8        (අඩි 19 ) පට්ටම්</t>
  </si>
  <si>
    <t>2 x 3/8        (අඩි 19 ) පට්ටම් අඩියක්</t>
  </si>
  <si>
    <t xml:space="preserve">1 X 1    2.5mm (අඩි 13 ) එල් අයරින් </t>
  </si>
  <si>
    <t>1 X 1    2.5mm (අඩි 13 ) එල් අයරින් අඩියක්</t>
  </si>
  <si>
    <t xml:space="preserve">1 x 1     3mm (අඩි 19 ) එල් අයරින් </t>
  </si>
  <si>
    <t>1 x 1     3mm (අඩි 19 ) එල් අයරින් අඩියක්</t>
  </si>
  <si>
    <t xml:space="preserve">1 x 1     6mm (අඩි 19 ) එල් අයරින් </t>
  </si>
  <si>
    <t>1 x 1     6mm (අඩි 19 ) එල් අයරින් අඩියක්</t>
  </si>
  <si>
    <t>1 1/2 x 1 1/2  4mm  (අඩි 19 ) එල් අයරින්</t>
  </si>
  <si>
    <t>1 1/2 x 1 1/2  4mm  (අඩි 19 ) එල් අයරින් අඩියක්</t>
  </si>
  <si>
    <t>1 1/2 x 1 1/2  5mm  (අඩි 19 ) එල් අයරින්</t>
  </si>
  <si>
    <t>1 1/2 x 1 1/2  5mm  (අඩි 19 ) එල් අයරින් අඩියක්</t>
  </si>
  <si>
    <t>1 1/4 x 1 1/4  3mm (අඩි 19 ) එල් අයරින්</t>
  </si>
  <si>
    <t>1 1/4 x 1 1/4  3mm (අඩි 19 ) එල් අයරින් අඩියක්</t>
  </si>
  <si>
    <t>1 1/2 x 1 1/2  5.5mm  (අඩි 19 ) එල් අයරින් අඩියක්</t>
  </si>
  <si>
    <t xml:space="preserve">1 1/2 x 1 1/2  5.5mm  (අඩි 19 ) එල් අයරින් </t>
  </si>
  <si>
    <t>2 x 2   5mm (අඩි 19 ) එල් අයරින්</t>
  </si>
  <si>
    <t>2 x 2   5mm (අඩි 19 ) එල් අයරින් අඩියක්</t>
  </si>
  <si>
    <t xml:space="preserve">1 1/2 x 1 1/2  6mm  (අඩි 19 ) එල් අයරින් </t>
  </si>
  <si>
    <t>1 1/2 x 1 1/2  6mm  (අඩි 19 ) එල් අයරින් අඩියක්</t>
  </si>
  <si>
    <t xml:space="preserve">2 x 2   5.5mm  (අඩි 19 ) එල් අයරින් </t>
  </si>
  <si>
    <t>2 x 2  5.5mm  (අඩි 19 ) එල් අයරින් අඩියක්</t>
  </si>
  <si>
    <t xml:space="preserve">2 x 2   6mm (අඩි 19 ) එල් අයරින් </t>
  </si>
  <si>
    <t xml:space="preserve">2 x 2   6mm (අඩි 19 ) එල් අයරින් අඩියක් </t>
  </si>
  <si>
    <t>L BAR</t>
  </si>
  <si>
    <t xml:space="preserve">3 X 1/4  එල් අයරින් </t>
  </si>
  <si>
    <t>3 X 1/4  එල් අයරින් අඩියක්</t>
  </si>
  <si>
    <t>NIPPON EMULSION  Mint Hint     1L</t>
  </si>
  <si>
    <t>NIPPON EMULSION  Aqua White   1L</t>
  </si>
  <si>
    <t>NIPPON EMULSION Apple White  1L</t>
  </si>
  <si>
    <t>NIPPON EMULSION Meadow  1L</t>
  </si>
  <si>
    <t>NIPPON EMULSION Lime Fizz  1L</t>
  </si>
  <si>
    <t>NIPPON EMULSION Cool Mint  1L</t>
  </si>
  <si>
    <t>NIPPON EMULSION Sheer Green  1L</t>
  </si>
  <si>
    <t>NIPPON EMULSION Mint  1L</t>
  </si>
  <si>
    <t>NIPPON EMULSION Emerald Green  1L</t>
  </si>
  <si>
    <t>NIPPON EMULSION Jade Green  1L</t>
  </si>
  <si>
    <t>NIPPON EMULSION Pastel Green  1L</t>
  </si>
  <si>
    <t>NIPPON EMULSION Lime   1L</t>
  </si>
  <si>
    <t>NIPPON EMULSION Willow Green  1L</t>
  </si>
  <si>
    <t>NIPPON EMULSION Eau-De-Nil  1L</t>
  </si>
  <si>
    <t>NIPPON EMULSION Pine Frost  1L</t>
  </si>
  <si>
    <t>NIPPON EMULSION Blue Vision  1L</t>
  </si>
  <si>
    <t>NIPPON EMULSION Iris Tip  1L</t>
  </si>
  <si>
    <t>NIPPON EMULSION Aquatint  1L</t>
  </si>
  <si>
    <t>NIPPON EMULSION Icy White  1L</t>
  </si>
  <si>
    <t>NIPPON EMULSION Blue Trace  1L</t>
  </si>
  <si>
    <t>NIPPON EMULSION South Seas  1L</t>
  </si>
  <si>
    <t>NIPPON EMULSION Seashell Lagoon  1L</t>
  </si>
  <si>
    <t>NIPPON EMULSION Deep pool  1L</t>
  </si>
  <si>
    <t>NIPPON EMULSION Foeget-me-Not  1L</t>
  </si>
  <si>
    <t>NIPPON EMULSION Blue Danube  1L</t>
  </si>
  <si>
    <t>NIPPON EMULSION Boat Race  1L</t>
  </si>
  <si>
    <t>NIPPON EMULSION Ice Blue  1L</t>
  </si>
  <si>
    <t>NIPPON EMULSION Moon Shadow  1L</t>
  </si>
  <si>
    <t>NIPPON EMULSION Baby Blue  1L</t>
  </si>
  <si>
    <t>NIPPON EMULSION Blue Flame   1L</t>
  </si>
  <si>
    <t>NIPPON EMULSION Flirtation  1L</t>
  </si>
  <si>
    <t>NIPPON EMULSION Lilac  1L</t>
  </si>
  <si>
    <t>NIPPON EMULSION Easter Egg  1L</t>
  </si>
  <si>
    <t>NIPPON EMULSION Sea Blue  1L</t>
  </si>
  <si>
    <t>NIPPON EMULSION Story Blue  1L</t>
  </si>
  <si>
    <t>NIPPON EMULSION Paradise Blue  1L</t>
  </si>
  <si>
    <t>NIPPON EMULSION Deep Blue  1L</t>
  </si>
  <si>
    <t>NIPPON EMULSION Soft Violet  1L</t>
  </si>
  <si>
    <t>NIPPON EMULSION Royal Violet  1L</t>
  </si>
  <si>
    <t>NIPPON EMULSION Orchid Purple  1L</t>
  </si>
  <si>
    <t>NIPPON EMULSION Cloudy Purple  1L</t>
  </si>
  <si>
    <t>NIPPON EMULSION Grape Violet  1L</t>
  </si>
  <si>
    <t>NIPPON EMULSION Rose White  1L</t>
  </si>
  <si>
    <t>NIPPON EMULSION Sugar Pink  1L</t>
  </si>
  <si>
    <t>NIPPON EMULSION Pink Overlay  1L</t>
  </si>
  <si>
    <t>NIPPON EMULSION Baby pink  1L</t>
  </si>
  <si>
    <t>NIPPON EMULSION Fairy Breath  1L</t>
  </si>
  <si>
    <t>NIPPON EMULSION Pinky Ruffles  1L</t>
  </si>
  <si>
    <t>NIPPON EMULSION Exotic Bloom  1L</t>
  </si>
  <si>
    <t>NIPPON EMULSION Lush Rose  1L</t>
  </si>
  <si>
    <t>NIPPON EMULSION Blossom White  1L</t>
  </si>
  <si>
    <t>NIPPON EMULSION Cherry White  1L</t>
  </si>
  <si>
    <t>NIPPON EMULSION Rose  1L</t>
  </si>
  <si>
    <t>NIPPON EMULSION Satin Stone  1L</t>
  </si>
  <si>
    <t>NIPPON EMULSION Marshmallow  1L</t>
  </si>
  <si>
    <t>NIPPON EMULSION Light Peach  1L</t>
  </si>
  <si>
    <t>NIPPON EMULSION Reef Red  1L</t>
  </si>
  <si>
    <t>NIPPON EMULSION Coral  1L</t>
  </si>
  <si>
    <t>NIPPON EMULSION Spanish Rose  1L</t>
  </si>
  <si>
    <t>NIPPON EMULSION Poppy Red  1L</t>
  </si>
  <si>
    <t>NIPPON EMULSION Orchid White  1L</t>
  </si>
  <si>
    <t>NIPPON EMULSION Almond White  1L</t>
  </si>
  <si>
    <t>NIPPON EMULSION Dove White  1L</t>
  </si>
  <si>
    <t>NIPPON EMULSION Lily White  1L</t>
  </si>
  <si>
    <t>NIPPON EMULSION Magnolia  1L</t>
  </si>
  <si>
    <t>NIPPON EMULSION Raw Cotton  1L</t>
  </si>
  <si>
    <t>NIPPON EMULSION Natural Wicker  1L</t>
  </si>
  <si>
    <t>NIPPON EMULSION Soft Peach  1L</t>
  </si>
  <si>
    <t>NIPPON EMULSION Off White  1L</t>
  </si>
  <si>
    <t>NIPPON EMULSION Sand Stone  1L</t>
  </si>
  <si>
    <t>NIPPON EMULSION Mushroom  1L</t>
  </si>
  <si>
    <t>NIPPON EMULSION Strawberry Ice  1L</t>
  </si>
  <si>
    <t>NIPPON EMULSION Light Violet  1L</t>
  </si>
  <si>
    <t>NIPPON EMULSION Roasted Red  1L</t>
  </si>
  <si>
    <t>NIPPON EMULSION Sashay Red  1L</t>
  </si>
  <si>
    <t>NIPPON EMULSION Drama Red  1L</t>
  </si>
  <si>
    <t>NIPPON EMULSION Purple Stone  1L</t>
  </si>
  <si>
    <t>NIPPON EMULSION Iced Ginger  1L</t>
  </si>
  <si>
    <t>NIPPON EMULSION Daisy Petal  1L</t>
  </si>
  <si>
    <t>NIPPON EMULSION Nepoli  1L</t>
  </si>
  <si>
    <t>NIPPON EMULSION Buttermilk  1L</t>
  </si>
  <si>
    <t>NIPPON EMULSION Sweet Cream  1L</t>
  </si>
  <si>
    <t>NIPPON EMULSION Cream  1L</t>
  </si>
  <si>
    <t>NIPPON EMULSION Summer's Blanket  1L</t>
  </si>
  <si>
    <t>NIPPON EMULSION Sunny Side Lane  1L</t>
  </si>
  <si>
    <t>NIPPON EMULSION Cairo Gold  1L</t>
  </si>
  <si>
    <t>NIPPON EMULSION Sunflower  1L</t>
  </si>
  <si>
    <t>NIPPON EMULSION Sunset Coral  1L</t>
  </si>
  <si>
    <t>NIPPON EMULSION Cameo  1L</t>
  </si>
  <si>
    <t>NIPPON EMULSION Royal Gold  1L</t>
  </si>
  <si>
    <t>NIPPON EMULSION Pumpkin  1L</t>
  </si>
  <si>
    <t>NIPPON EMULSION Marsh Mary Gold  1L</t>
  </si>
  <si>
    <t>NIPPON EMULSION Orange Lantern  1L</t>
  </si>
  <si>
    <t>NIPPON EMULSION Woven Slats  1L</t>
  </si>
  <si>
    <t>NIPPON EMULSION Sunset   1L</t>
  </si>
  <si>
    <t>NIPPON EMULSION Tapestry Beige  1L</t>
  </si>
  <si>
    <t>NIPPON EMULSION Marble Grey  1L</t>
  </si>
  <si>
    <t>NIPPON EMULSION Silver Clad Grey  1L</t>
  </si>
  <si>
    <t>NIPPON EMULSION Minerva Grey  1L</t>
  </si>
  <si>
    <t>NIPPON EMULSION wood box  1L</t>
  </si>
  <si>
    <t>NIPPON EMULSION  Mint Hint  4L</t>
  </si>
  <si>
    <t>NIPPON EMULSION  Aqua White  4L</t>
  </si>
  <si>
    <t>NIPPON EMULSION Apple White  4L</t>
  </si>
  <si>
    <t>NIPPON EMULSION Meadow  4L</t>
  </si>
  <si>
    <t>NIPPON EMULSION Lime Fizz  4L</t>
  </si>
  <si>
    <t>NIPPON EMULSION Cool Mint  4L</t>
  </si>
  <si>
    <t>NIPPON EMULSION Sheer Green  4L</t>
  </si>
  <si>
    <t>NIPPON EMULSION Mint  4L</t>
  </si>
  <si>
    <t>NIPPON EMULSION Emerald Green  4L</t>
  </si>
  <si>
    <t>NIPPON EMULSION Jade Green  4L</t>
  </si>
  <si>
    <t>NIPPON EMULSION Pastel Green  4L</t>
  </si>
  <si>
    <t xml:space="preserve">NIPPON EMULSION Lime  4L </t>
  </si>
  <si>
    <t>NIPPON EMULSION Willow Green  4L</t>
  </si>
  <si>
    <t>NIPPON EMULSION Eau-De-Nil  4L</t>
  </si>
  <si>
    <t>NIPPON EMULSION Pine Frost  4L</t>
  </si>
  <si>
    <t>NIPPON EMULSION Blue Vision  4L</t>
  </si>
  <si>
    <t>NIPPON EMULSION Iris Tip  4L</t>
  </si>
  <si>
    <t>NIPPON EMULSION Aquatint  4L</t>
  </si>
  <si>
    <t>NIPPON EMULSION Icy White  4L</t>
  </si>
  <si>
    <t>NIPPON EMULSION Blue Trace  4L</t>
  </si>
  <si>
    <t>NIPPON EMULSION South Seas  4L</t>
  </si>
  <si>
    <t>NIPPON EMULSION Seashell Lagoon  4L</t>
  </si>
  <si>
    <t>NIPPON EMULSION Deep pool  4L</t>
  </si>
  <si>
    <t>NIPPON EMULSION Foeget-me-Not  4L</t>
  </si>
  <si>
    <t>NIPPON EMULSION Blue Danube  4L</t>
  </si>
  <si>
    <t>NIPPON EMULSION Boat Race  4L</t>
  </si>
  <si>
    <t>NIPPON EMULSION Ice Blue  4L</t>
  </si>
  <si>
    <t>NIPPON EMULSION Moon Shadow  4L</t>
  </si>
  <si>
    <t>NIPPON EMULSION Baby Blue  4L</t>
  </si>
  <si>
    <t>NIPPON EMULSION Blue Flame  4L</t>
  </si>
  <si>
    <t>NIPPON EMULSION Flirtation  4L</t>
  </si>
  <si>
    <t>NIPPON EMULSION Lilac  4L</t>
  </si>
  <si>
    <t>NIPPON EMULSION Easter Egg  4L</t>
  </si>
  <si>
    <t>NIPPON EMULSION Sea Blue  4L</t>
  </si>
  <si>
    <t>NIPPON EMULSION Story Blue  4L</t>
  </si>
  <si>
    <t>NIPPON EMULSION Paradise Blue  4L</t>
  </si>
  <si>
    <t>NIPPON EMULSION Deep Blue  4L</t>
  </si>
  <si>
    <t>NIPPON EMULSION Soft Violet  4L</t>
  </si>
  <si>
    <t>NIPPON EMULSION Royal Violet  4L</t>
  </si>
  <si>
    <t>NIPPON EMULSION Orchid Purple  4L</t>
  </si>
  <si>
    <t>NIPPON EMULSION Cloudy Purple  4L</t>
  </si>
  <si>
    <t>NIPPON EMULSION Grape Violet  4L</t>
  </si>
  <si>
    <t>NIPPON EMULSION Rose White  4L</t>
  </si>
  <si>
    <t>NIPPON EMULSION Sugar Pink  4L</t>
  </si>
  <si>
    <t>NIPPON EMULSION Pink Overlay  4L</t>
  </si>
  <si>
    <t>NIPPON EMULSION Baby pink  4L</t>
  </si>
  <si>
    <t>NIPPON EMULSION Fairy Breath  4L</t>
  </si>
  <si>
    <t>NIPPON EMULSION Pinky Ruffles  4L</t>
  </si>
  <si>
    <t>NIPPON EMULSION Exotic Bloom  4L</t>
  </si>
  <si>
    <t>NIPPON EMULSION Lush Rose  4L</t>
  </si>
  <si>
    <t>NIPPON EMULSION Blossom White  4L</t>
  </si>
  <si>
    <t>NIPPON EMULSION Cherry White  4L</t>
  </si>
  <si>
    <t>NIPPON EMULSION Rose  4L</t>
  </si>
  <si>
    <t>NIPPON EMULSION Satin Stone  4L</t>
  </si>
  <si>
    <t>NIPPON EMULSION Marshmallow  4L</t>
  </si>
  <si>
    <t>NIPPON EMULSION Light Peach  4L</t>
  </si>
  <si>
    <t>NIPPON EMULSION Reef Red  4L</t>
  </si>
  <si>
    <t>NIPPON EMULSION Coral  4L</t>
  </si>
  <si>
    <t>NIPPON EMULSION Spanish Rose  4L</t>
  </si>
  <si>
    <t>NIPPON EMULSION Poppy Red  4L</t>
  </si>
  <si>
    <t>NIPPON EMULSION Orchid White  4L</t>
  </si>
  <si>
    <t>NIPPON EMULSION Almond White  4L</t>
  </si>
  <si>
    <t>NIPPON EMULSION Dove White  4L</t>
  </si>
  <si>
    <t>NIPPON EMULSION Lily White  4L</t>
  </si>
  <si>
    <t>NIPPON EMULSION Magnolia  4L</t>
  </si>
  <si>
    <t>NIPPON EMULSION Raw Cotton  4L</t>
  </si>
  <si>
    <t>NIPPON EMULSION Natural Wicker  4L</t>
  </si>
  <si>
    <t>NIPPON EMULSION Soft Peach  4L</t>
  </si>
  <si>
    <t>NIPPON EMULSION Off White  4L</t>
  </si>
  <si>
    <t>NIPPON EMULSION Sand Stone  4L</t>
  </si>
  <si>
    <t>NIPPON EMULSION Mushroom  4L</t>
  </si>
  <si>
    <t>NIPPON EMULSION Strawberry Ice  4L</t>
  </si>
  <si>
    <t>NIPPON EMULSION Light Violet  4L</t>
  </si>
  <si>
    <t>NIPPON EMULSION Roasted Red  4L</t>
  </si>
  <si>
    <t>NIPPON EMULSION Sashay Red  4L</t>
  </si>
  <si>
    <t>NIPPON EMULSION Drama Red  4L</t>
  </si>
  <si>
    <t>NIPPON EMULSION Purple Stone  4L</t>
  </si>
  <si>
    <t>NIPPON EMULSION Iced Ginger  4L</t>
  </si>
  <si>
    <t>NIPPON EMULSION Daisy Petal  4L</t>
  </si>
  <si>
    <t>NIPPON EMULSION Nepoli  4L</t>
  </si>
  <si>
    <t>NIPPON EMULSION Buttermilk  4L</t>
  </si>
  <si>
    <t>NIPPON EMULSION Sweet Cream  4L</t>
  </si>
  <si>
    <t>NIPPON EMULSION Cream  4L</t>
  </si>
  <si>
    <t>NIPPON EMULSION Summer's Blanket  4L</t>
  </si>
  <si>
    <t>NIPPON EMULSION Sunny Side Lane  4L</t>
  </si>
  <si>
    <t>NIPPON EMULSION Cairo Gold  4L</t>
  </si>
  <si>
    <t>NIPPON EMULSION Sunflower  4L</t>
  </si>
  <si>
    <t>NIPPON EMULSION Sunset Coral  4L</t>
  </si>
  <si>
    <t>NIPPON EMULSION Cameo  4L</t>
  </si>
  <si>
    <t>NIPPON EMULSION Royal Gold  4L</t>
  </si>
  <si>
    <t>NIPPON EMULSION Pumpkin  4L</t>
  </si>
  <si>
    <t>NIPPON EMULSION Marsh Mary Gold  4L</t>
  </si>
  <si>
    <t>NIPPON EMULSION Orange Lantern  4L</t>
  </si>
  <si>
    <t>NIPPON EMULSION Woven Slats  4L</t>
  </si>
  <si>
    <t>NIPPON EMULSION Sunset   4L</t>
  </si>
  <si>
    <t>NIPPON EMULSION Tapestry Beige  4L</t>
  </si>
  <si>
    <t>NIPPON EMULSION Marble Grey  4L</t>
  </si>
  <si>
    <t>NIPPON EMULSION Silver Clad Grey  4L</t>
  </si>
  <si>
    <t>NIPPON EMULSION Minerva Grey  4L</t>
  </si>
  <si>
    <t>NIPPON EMULSION wood box  4L</t>
  </si>
  <si>
    <t>NIPPON EMULSION  Mint Hint  10L</t>
  </si>
  <si>
    <t>NIPPON EMULSION  Aqua White  10L</t>
  </si>
  <si>
    <t>NIPPON EMULSION Apple White  10L</t>
  </si>
  <si>
    <t>NIPPON EMULSION Meadow  10L</t>
  </si>
  <si>
    <t>NIPPON EMULSION Lime Fizz  10L</t>
  </si>
  <si>
    <t>NIPPON EMULSION Cool Mint  10L</t>
  </si>
  <si>
    <t>NIPPON EMULSION Sheer Green  10L</t>
  </si>
  <si>
    <t>NIPPON EMULSION Mint  10L</t>
  </si>
  <si>
    <t>NIPPON EMULSION Emerald Green  10L</t>
  </si>
  <si>
    <t>NIPPON EMULSION Jade Green  10L</t>
  </si>
  <si>
    <t>NIPPON EMULSION Pastel Green  10L</t>
  </si>
  <si>
    <t>NIPPON EMULSION Lime   10L</t>
  </si>
  <si>
    <t>NIPPON EMULSION Willow Green  10L</t>
  </si>
  <si>
    <t>NIPPON EMULSION Eau-De-Nil  10L</t>
  </si>
  <si>
    <t>NIPPON EMULSION Pine Frost  10L</t>
  </si>
  <si>
    <t>NIPPON EMULSION Blue Vision  10L</t>
  </si>
  <si>
    <t>NIPPON EMULSION Iris Tip  10L</t>
  </si>
  <si>
    <t>NIPPON EMULSION Aquatint  10L</t>
  </si>
  <si>
    <t>NIPPON EMULSION Icy White  10L</t>
  </si>
  <si>
    <t>NIPPON EMULSION Blue Trace  10L</t>
  </si>
  <si>
    <t>NIPPON EMULSION South Seas  10L</t>
  </si>
  <si>
    <t>NIPPON EMULSION Seashell Lagoon  10L</t>
  </si>
  <si>
    <t>NIPPON EMULSION Deep pool  10L</t>
  </si>
  <si>
    <t>NIPPON EMULSION Foeget-me-Not  10L</t>
  </si>
  <si>
    <t>NIPPON EMULSION Blue Danube  10L</t>
  </si>
  <si>
    <t>NIPPON EMULSION Boat Race  10L</t>
  </si>
  <si>
    <t>NIPPON EMULSION Ice Blue  10L</t>
  </si>
  <si>
    <t>NIPPON EMULSION Moon Shadow  10L</t>
  </si>
  <si>
    <t>NIPPON EMULSION Baby Blue  10L</t>
  </si>
  <si>
    <t>NIPPON EMULSION Blue Flame  10L</t>
  </si>
  <si>
    <t>NIPPON EMULSION Flirtation  10L</t>
  </si>
  <si>
    <t>NIPPON EMULSION Lilac  10L</t>
  </si>
  <si>
    <t>NIPPON EMULSION Easter Egg  10L</t>
  </si>
  <si>
    <t>NIPPON EMULSION Sea Blue  10L</t>
  </si>
  <si>
    <t>NIPPON EMULSION Story Blue  10L</t>
  </si>
  <si>
    <t>NIPPON EMULSION Paradise Blue  10L</t>
  </si>
  <si>
    <t>NIPPON EMULSION Deep Blue  10L</t>
  </si>
  <si>
    <t>NIPPON EMULSION Soft Violet  10L</t>
  </si>
  <si>
    <t>NIPPON EMULSION Royal Violet  10L</t>
  </si>
  <si>
    <t>NIPPON EMULSION Orchid Purple  10L</t>
  </si>
  <si>
    <t>NIPPON EMULSION Cloudy Purple  10L</t>
  </si>
  <si>
    <t>NIPPON EMULSION Grape Violet  10L</t>
  </si>
  <si>
    <t>NIPPON EMULSION Rose White  10L</t>
  </si>
  <si>
    <t>NIPPON EMULSION Sugar Pink  10L</t>
  </si>
  <si>
    <t>NIPPON EMULSION Pink Overlay  10L</t>
  </si>
  <si>
    <t>NIPPON EMULSION Baby pink  10L</t>
  </si>
  <si>
    <t>NIPPON EMULSION Fairy Breath  10L</t>
  </si>
  <si>
    <t>NIPPON EMULSION Pinky Ruffles  10L</t>
  </si>
  <si>
    <t>NIPPON EMULSION Exotic Bloom  10L</t>
  </si>
  <si>
    <t>NIPPON EMULSION Lush Rose  10L</t>
  </si>
  <si>
    <t>NIPPON EMULSION Blossom White  10L</t>
  </si>
  <si>
    <t>NIPPON EMULSION Cherry White  10L</t>
  </si>
  <si>
    <t>NIPPON EMULSION Rose  10L</t>
  </si>
  <si>
    <t>NIPPON EMULSION Satin Stone  10L</t>
  </si>
  <si>
    <t>NIPPON EMULSION Marshmallow  10L</t>
  </si>
  <si>
    <t>NIPPON EMULSION Light Peach  10L</t>
  </si>
  <si>
    <t>NIPPON EMULSION Reef Red  10L</t>
  </si>
  <si>
    <t>NIPPON EMULSION Coral  10L</t>
  </si>
  <si>
    <t>NIPPON EMULSION Spanish Rose  10L</t>
  </si>
  <si>
    <t>NIPPON EMULSION Poppy Red  10L</t>
  </si>
  <si>
    <t>NIPPON EMULSION Orchid White  10L</t>
  </si>
  <si>
    <t>NIPPON EMULSION Almond White  10L</t>
  </si>
  <si>
    <t>NIPPON EMULSION Dove White  10L</t>
  </si>
  <si>
    <t>NIPPON EMULSION Lily White  10L</t>
  </si>
  <si>
    <t>NIPPON EMULSION Magnolia  10L</t>
  </si>
  <si>
    <t>NIPPON EMULSION Raw Cotton  10L</t>
  </si>
  <si>
    <t>NIPPON EMULSION Natural Wicker  10L</t>
  </si>
  <si>
    <t>NIPPON EMULSION Soft Peach  10L</t>
  </si>
  <si>
    <t>NIPPON EMULSION Off White  10L</t>
  </si>
  <si>
    <t>NIPPON EMULSION Sand Stone  10L</t>
  </si>
  <si>
    <t>NIPPON EMULSION Mushroom  10L</t>
  </si>
  <si>
    <t>NIPPON EMULSION Strawberry Ice  10L</t>
  </si>
  <si>
    <t>NIPPON EMULSION Light Violet  10L</t>
  </si>
  <si>
    <t>NIPPON EMULSION Roasted Red  10L</t>
  </si>
  <si>
    <t>NIPPON EMULSION Sashay Red  10L</t>
  </si>
  <si>
    <t>NIPPON EMULSION Drama Red  10L</t>
  </si>
  <si>
    <t>NIPPON EMULSION Purple Stone  10L</t>
  </si>
  <si>
    <t>NIPPON EMULSION Iced Ginger  10L</t>
  </si>
  <si>
    <t>NIPPON EMULSION Daisy Petal  10L</t>
  </si>
  <si>
    <t>NIPPON EMULSION Nepoli  10L</t>
  </si>
  <si>
    <t>NIPPON EMULSION Buttermilk  10L</t>
  </si>
  <si>
    <t>NIPPON EMULSION Sweet Cream  10L</t>
  </si>
  <si>
    <t>NIPPON EMULSION Cream  10L</t>
  </si>
  <si>
    <t>NIPPON EMULSION Summer's Blanket  10L</t>
  </si>
  <si>
    <t>NIPPON EMULSION Sunny Side Lane  10L</t>
  </si>
  <si>
    <t>NIPPON EMULSION Cairo Gold  10L</t>
  </si>
  <si>
    <t>NIPPON EMULSION Sunflower  10L</t>
  </si>
  <si>
    <t>NIPPON EMULSION Sunset Coral  10L</t>
  </si>
  <si>
    <t>NIPPON EMULSION Cameo  10L</t>
  </si>
  <si>
    <t>NIPPON EMULSION Royal Gold  10L</t>
  </si>
  <si>
    <t>NIPPON EMULSION Pumpkin  10L</t>
  </si>
  <si>
    <t>NIPPON EMULSION Marsh Mary Gold  10L</t>
  </si>
  <si>
    <t>NIPPON EMULSION Orange Lantern  10L</t>
  </si>
  <si>
    <t>NIPPON EMULSION Woven Slats  10L</t>
  </si>
  <si>
    <t>NIPPON EMULSION Sunset   10L</t>
  </si>
  <si>
    <t>NIPPON EMULSION Tapestry Beige  10L</t>
  </si>
  <si>
    <t>NIPPON EMULSION Marble Grey  10L</t>
  </si>
  <si>
    <t>NIPPON EMULSION Silver Clad Grey  10L</t>
  </si>
  <si>
    <t>NIPPON EMULSION Minerva Grey  10L</t>
  </si>
  <si>
    <t>NIPPON EMULSION wood box  10L</t>
  </si>
  <si>
    <t>NIPPON EMULSION  Mint Hint  20L</t>
  </si>
  <si>
    <t>NIPPON EMULSION  Aqua White  20L</t>
  </si>
  <si>
    <t>NIPPON EMULSION Apple White  20L</t>
  </si>
  <si>
    <t>NIPPON EMULSION Meadow  20L</t>
  </si>
  <si>
    <t>NIPPON EMULSION Lime Fizz  20L</t>
  </si>
  <si>
    <t>NIPPON EMULSION Cool Mint  20L</t>
  </si>
  <si>
    <t>NIPPON EMULSION Sheer Green  20L</t>
  </si>
  <si>
    <t>NIPPON EMULSION Mint  20L</t>
  </si>
  <si>
    <t>NIPPON EMULSION Emerald Green  20L</t>
  </si>
  <si>
    <t>NIPPON EMULSION Jade Green  20L</t>
  </si>
  <si>
    <t>NIPPON EMULSION Pastel Green  20L</t>
  </si>
  <si>
    <t>NIPPON EMULSION Lime   20L</t>
  </si>
  <si>
    <t>NIPPON EMULSION Willow Green  20L</t>
  </si>
  <si>
    <t>NIPPON EMULSION Eau-De-Nil  20L</t>
  </si>
  <si>
    <t>NIPPON EMULSION Pine Frost  20L</t>
  </si>
  <si>
    <t>NIPPON EMULSION Blue Vision  20L</t>
  </si>
  <si>
    <t>NIPPON EMULSION Iris Tip  20L</t>
  </si>
  <si>
    <t>NIPPON EMULSION Aquatint  20L</t>
  </si>
  <si>
    <t>NIPPON EMULSION Icy White  20L</t>
  </si>
  <si>
    <t>NIPPON EMULSION Blue Trace  20L</t>
  </si>
  <si>
    <t>NIPPON EMULSION South Seas  20L</t>
  </si>
  <si>
    <t>NIPPON EMULSION Seashell Lagoon  20L</t>
  </si>
  <si>
    <t>NIPPON EMULSION Deep pool  20L</t>
  </si>
  <si>
    <t>NIPPON EMULSION Foeget-me-Not  20L</t>
  </si>
  <si>
    <t>NIPPON EMULSION Blue Danube  20L</t>
  </si>
  <si>
    <t>NIPPON EMULSION Boat Race  20L</t>
  </si>
  <si>
    <t>NIPPON EMULSION Ice Blue  20L</t>
  </si>
  <si>
    <t>NIPPON EMULSION Moon Shadow  20L</t>
  </si>
  <si>
    <t>NIPPON EMULSION Baby Blue  20L</t>
  </si>
  <si>
    <t>NIPPON EMULSION Blue Flame  20L</t>
  </si>
  <si>
    <t>NIPPON EMULSION Flirtation  20L</t>
  </si>
  <si>
    <t>NIPPON EMULSION Lilac  20L</t>
  </si>
  <si>
    <t>NIPPON EMULSION Easter Egg  20L</t>
  </si>
  <si>
    <t>NIPPON EMULSION Sea Blue  20L</t>
  </si>
  <si>
    <t>NIPPON EMULSION Story Blue  20L</t>
  </si>
  <si>
    <t>NIPPON EMULSION Paradise Blue  20L</t>
  </si>
  <si>
    <t>NIPPON EMULSION Deep Blue  20L</t>
  </si>
  <si>
    <t>NIPPON EMULSION Soft Violet  20L</t>
  </si>
  <si>
    <t>NIPPON EMULSION Royal Violet  20L</t>
  </si>
  <si>
    <t>NIPPON EMULSION Orchid Purple  20L</t>
  </si>
  <si>
    <t>NIPPON EMULSION Cloudy Purple  20L</t>
  </si>
  <si>
    <t>NIPPON EMULSION Grape Violet  20L</t>
  </si>
  <si>
    <t>NIPPON EMULSION Rose White  20L</t>
  </si>
  <si>
    <t>NIPPON EMULSION Sugar Pink  20L</t>
  </si>
  <si>
    <t>NIPPON EMULSION Pink Overlay  20L</t>
  </si>
  <si>
    <t>NIPPON EMULSION Baby pink  20L</t>
  </si>
  <si>
    <t>NIPPON EMULSION Fairy Breath  20L</t>
  </si>
  <si>
    <t>NIPPON EMULSION Pinky Ruffles  20L</t>
  </si>
  <si>
    <t>NIPPON EMULSION Exotic Bloom  20L</t>
  </si>
  <si>
    <t>NIPPON EMULSION Lush Rose  20L</t>
  </si>
  <si>
    <t>NIPPON EMULSION Blossom White  20L</t>
  </si>
  <si>
    <t>NIPPON EMULSION Cherry White  20L</t>
  </si>
  <si>
    <t>NIPPON EMULSION Rose  20L</t>
  </si>
  <si>
    <t>NIPPON EMULSION Satin Stone  20L</t>
  </si>
  <si>
    <t>NIPPON EMULSION Marshmallow  20L</t>
  </si>
  <si>
    <t>NIPPON EMULSION Light Peach  20L</t>
  </si>
  <si>
    <t>NIPPON EMULSION Reef Red  20L</t>
  </si>
  <si>
    <t>NIPPON EMULSION Coral  20L</t>
  </si>
  <si>
    <t>NIPPON EMULSION Spanish Rose  20L</t>
  </si>
  <si>
    <t>NIPPON EMULSION Poppy Red  20L</t>
  </si>
  <si>
    <t>NIPPON EMULSION Orchid White  20L</t>
  </si>
  <si>
    <t>NIPPON EMULSION Almond White  20L</t>
  </si>
  <si>
    <t>NIPPON EMULSION Dove White  20L</t>
  </si>
  <si>
    <t>NIPPON EMULSION Lily White  20L</t>
  </si>
  <si>
    <t>NIPPON EMULSION Magnolia  20L</t>
  </si>
  <si>
    <t>NIPPON EMULSION Raw Cotton  20L</t>
  </si>
  <si>
    <t>NIPPON EMULSION Natural Wicker  20L</t>
  </si>
  <si>
    <t>NIPPON EMULSION Soft Peach  20L</t>
  </si>
  <si>
    <t>NIPPON EMULSION Off White  20L</t>
  </si>
  <si>
    <t>NIPPON EMULSION Sand Stone  20L</t>
  </si>
  <si>
    <t>NIPPON EMULSION Mushroom  20L</t>
  </si>
  <si>
    <t>NIPPON EMULSION Strawberry Ice  20L</t>
  </si>
  <si>
    <t>NIPPON EMULSION Light Violet  20L</t>
  </si>
  <si>
    <t>NIPPON EMULSION Roasted Red  20L</t>
  </si>
  <si>
    <t>NIPPON EMULSION Sashay Red  20L</t>
  </si>
  <si>
    <t>NIPPON EMULSION Drama Red  20L</t>
  </si>
  <si>
    <t>NIPPON EMULSION Purple Stone  20L</t>
  </si>
  <si>
    <t>NIPPON EMULSION Iced Ginger  20L</t>
  </si>
  <si>
    <t>NIPPON EMULSION Daisy Petal  20L</t>
  </si>
  <si>
    <t>NIPPON EMULSION Nepoli  20L</t>
  </si>
  <si>
    <t>NIPPON EMULSION Buttermilk  20L</t>
  </si>
  <si>
    <t>NIPPON EMULSION Sweet Cream  20L</t>
  </si>
  <si>
    <t>NIPPON EMULSION Cream  20L</t>
  </si>
  <si>
    <t>NIPPON EMULSION Summer's Blanket  20L</t>
  </si>
  <si>
    <t>NIPPON EMULSION Sunny Side Lane  20L</t>
  </si>
  <si>
    <t>NIPPON EMULSION Cairo Gold  20L</t>
  </si>
  <si>
    <t>NIPPON EMULSION Sunflower  20L</t>
  </si>
  <si>
    <t>NIPPON EMULSION Sunset Coral  20L</t>
  </si>
  <si>
    <t>NIPPON EMULSION Cameo  20L</t>
  </si>
  <si>
    <t>NIPPON EMULSION Royal Gold  20L</t>
  </si>
  <si>
    <t>NIPPON EMULSION Pumpkin  20L</t>
  </si>
  <si>
    <t>NIPPON EMULSION Marsh Mary Gold  20L</t>
  </si>
  <si>
    <t>NIPPON EMULSION Orange Lantern  20L</t>
  </si>
  <si>
    <t>NIPPON EMULSION Woven Slats  20L</t>
  </si>
  <si>
    <t>NIPPON EMULSION Sunset   20L</t>
  </si>
  <si>
    <t>NIPPON EMULSION Tapestry Beige  20L</t>
  </si>
  <si>
    <t>NIPPON EMULSION Marble Grey  20L</t>
  </si>
  <si>
    <t>NIPPON EMULSION Silver Clad Grey  20L</t>
  </si>
  <si>
    <t>NIPPON EMULSION Minerva Grey  20L</t>
  </si>
  <si>
    <t>NIPPON EMULSION wood box  20L</t>
  </si>
  <si>
    <t>NE 1</t>
  </si>
  <si>
    <t>NE 2</t>
  </si>
  <si>
    <t>NE 3</t>
  </si>
  <si>
    <t>NE 4</t>
  </si>
  <si>
    <t>NE 5</t>
  </si>
  <si>
    <t>NE 6</t>
  </si>
  <si>
    <t>NE 7</t>
  </si>
  <si>
    <t>NE 8</t>
  </si>
  <si>
    <t>NE 9</t>
  </si>
  <si>
    <t>NE 10</t>
  </si>
  <si>
    <t>NE 11</t>
  </si>
  <si>
    <t>NE 12</t>
  </si>
  <si>
    <t>NE 13</t>
  </si>
  <si>
    <t>NE 14</t>
  </si>
  <si>
    <t>NE 15</t>
  </si>
  <si>
    <t>NE 16</t>
  </si>
  <si>
    <t>NE 17</t>
  </si>
  <si>
    <t>NE 18</t>
  </si>
  <si>
    <t>NE 19</t>
  </si>
  <si>
    <t>NE 20</t>
  </si>
  <si>
    <t>NE 21</t>
  </si>
  <si>
    <t>NE 22</t>
  </si>
  <si>
    <t>NE 23</t>
  </si>
  <si>
    <t>NE 24</t>
  </si>
  <si>
    <t>NE 25</t>
  </si>
  <si>
    <t>NE 26</t>
  </si>
  <si>
    <t>NE 27</t>
  </si>
  <si>
    <t>NE 28</t>
  </si>
  <si>
    <t>NE 29</t>
  </si>
  <si>
    <t>NE 30</t>
  </si>
  <si>
    <t>NE 31</t>
  </si>
  <si>
    <t>NE 32</t>
  </si>
  <si>
    <t>NE 33</t>
  </si>
  <si>
    <t>NE 34</t>
  </si>
  <si>
    <t>NE 35</t>
  </si>
  <si>
    <t>NE 36</t>
  </si>
  <si>
    <t>NE 37</t>
  </si>
  <si>
    <t>NE 38</t>
  </si>
  <si>
    <t>NE 39</t>
  </si>
  <si>
    <t>NE 40</t>
  </si>
  <si>
    <t>NE 41</t>
  </si>
  <si>
    <t>NE 42</t>
  </si>
  <si>
    <t>NE 43</t>
  </si>
  <si>
    <t>NE 44</t>
  </si>
  <si>
    <t>NE 45</t>
  </si>
  <si>
    <t>NE 46</t>
  </si>
  <si>
    <t>NE 47</t>
  </si>
  <si>
    <t>NE 48</t>
  </si>
  <si>
    <t>NE 49</t>
  </si>
  <si>
    <t>NE 50</t>
  </si>
  <si>
    <t>NE 51</t>
  </si>
  <si>
    <t>NE 52</t>
  </si>
  <si>
    <t>NE 53</t>
  </si>
  <si>
    <t>NE 54</t>
  </si>
  <si>
    <t>NE 55</t>
  </si>
  <si>
    <t>NE 56</t>
  </si>
  <si>
    <t>NE 57</t>
  </si>
  <si>
    <t>NE 58</t>
  </si>
  <si>
    <t>NE 59</t>
  </si>
  <si>
    <t>NE 60</t>
  </si>
  <si>
    <t>NE 61</t>
  </si>
  <si>
    <t>NE 62</t>
  </si>
  <si>
    <t>NE 63</t>
  </si>
  <si>
    <t>NE 64</t>
  </si>
  <si>
    <t>NE 65</t>
  </si>
  <si>
    <t>NE 66</t>
  </si>
  <si>
    <t>NE 67</t>
  </si>
  <si>
    <t>NE 68</t>
  </si>
  <si>
    <t>NE 69</t>
  </si>
  <si>
    <t>NE 70</t>
  </si>
  <si>
    <t>NE 71</t>
  </si>
  <si>
    <t>NE 72</t>
  </si>
  <si>
    <t>NE 73</t>
  </si>
  <si>
    <t>NE 74</t>
  </si>
  <si>
    <t>NE 75</t>
  </si>
  <si>
    <t>NE 76</t>
  </si>
  <si>
    <t>NE 77</t>
  </si>
  <si>
    <t>NE 78</t>
  </si>
  <si>
    <t>NE 79</t>
  </si>
  <si>
    <t>NE 80</t>
  </si>
  <si>
    <t>NE 81</t>
  </si>
  <si>
    <t>NE 82</t>
  </si>
  <si>
    <t>NE 83</t>
  </si>
  <si>
    <t>NE 84</t>
  </si>
  <si>
    <t>NE 85</t>
  </si>
  <si>
    <t>NE 86</t>
  </si>
  <si>
    <t>NE 87</t>
  </si>
  <si>
    <t>NE 88</t>
  </si>
  <si>
    <t>NE 89</t>
  </si>
  <si>
    <t>NE 90</t>
  </si>
  <si>
    <t>NE 91</t>
  </si>
  <si>
    <t>NE 92</t>
  </si>
  <si>
    <t>NE 93</t>
  </si>
  <si>
    <t>NE 94</t>
  </si>
  <si>
    <t>NE 95</t>
  </si>
  <si>
    <t>NE 96</t>
  </si>
  <si>
    <t>NE 97</t>
  </si>
  <si>
    <t>NE 98</t>
  </si>
  <si>
    <t>NE 99</t>
  </si>
  <si>
    <t>NE 100</t>
  </si>
  <si>
    <t>NIPPON EMULSION 1L</t>
  </si>
  <si>
    <t>NIPPON EMULSION 4L</t>
  </si>
  <si>
    <t>NIPPON EMULSION 10L</t>
  </si>
  <si>
    <t>NIPPON EMULSION 20L</t>
  </si>
  <si>
    <t>NW1</t>
  </si>
  <si>
    <t>NW2</t>
  </si>
  <si>
    <t>NW3</t>
  </si>
  <si>
    <t>NW4</t>
  </si>
  <si>
    <t>NW5</t>
  </si>
  <si>
    <t>NW6</t>
  </si>
  <si>
    <t>NW7</t>
  </si>
  <si>
    <t>NW8</t>
  </si>
  <si>
    <t>NW9</t>
  </si>
  <si>
    <t>NW10</t>
  </si>
  <si>
    <t>NW11</t>
  </si>
  <si>
    <t>NW12</t>
  </si>
  <si>
    <t>NW13</t>
  </si>
  <si>
    <t>NW14</t>
  </si>
  <si>
    <t>NW15</t>
  </si>
  <si>
    <t>NW16</t>
  </si>
  <si>
    <t>NW17</t>
  </si>
  <si>
    <t>NW18</t>
  </si>
  <si>
    <t>NW19</t>
  </si>
  <si>
    <t>NW20</t>
  </si>
  <si>
    <t>NW21</t>
  </si>
  <si>
    <t>NW22</t>
  </si>
  <si>
    <t>NW23</t>
  </si>
  <si>
    <t>NW24</t>
  </si>
  <si>
    <t>NW25</t>
  </si>
  <si>
    <t>NW26</t>
  </si>
  <si>
    <t>NW27</t>
  </si>
  <si>
    <t>NW28</t>
  </si>
  <si>
    <t>NW29</t>
  </si>
  <si>
    <t>NW30</t>
  </si>
  <si>
    <t>NW31</t>
  </si>
  <si>
    <t>NW32</t>
  </si>
  <si>
    <t>NW33</t>
  </si>
  <si>
    <t>NW34</t>
  </si>
  <si>
    <t>NW35</t>
  </si>
  <si>
    <t>NW36</t>
  </si>
  <si>
    <t>NW37</t>
  </si>
  <si>
    <t>NW38</t>
  </si>
  <si>
    <t>NW39</t>
  </si>
  <si>
    <t>NW40</t>
  </si>
  <si>
    <t>NW41</t>
  </si>
  <si>
    <t>NW42</t>
  </si>
  <si>
    <t>NW43</t>
  </si>
  <si>
    <t>NW44</t>
  </si>
  <si>
    <t>NW45</t>
  </si>
  <si>
    <t>NW46</t>
  </si>
  <si>
    <t>NW47</t>
  </si>
  <si>
    <t>NW48</t>
  </si>
  <si>
    <t>NW49</t>
  </si>
  <si>
    <t>NW50</t>
  </si>
  <si>
    <t>NW51</t>
  </si>
  <si>
    <t>NW52</t>
  </si>
  <si>
    <t>NW53</t>
  </si>
  <si>
    <t>NW54</t>
  </si>
  <si>
    <t>NW55</t>
  </si>
  <si>
    <t>NW56</t>
  </si>
  <si>
    <t>NW57</t>
  </si>
  <si>
    <t>NW58</t>
  </si>
  <si>
    <t>NW59</t>
  </si>
  <si>
    <t>NW60</t>
  </si>
  <si>
    <t>NW61</t>
  </si>
  <si>
    <t>NW62</t>
  </si>
  <si>
    <t>NW63</t>
  </si>
  <si>
    <t>NW64</t>
  </si>
  <si>
    <t>NW65</t>
  </si>
  <si>
    <t>NW66</t>
  </si>
  <si>
    <t>NW67</t>
  </si>
  <si>
    <t>NW68</t>
  </si>
  <si>
    <t>NW69</t>
  </si>
  <si>
    <t>NW70</t>
  </si>
  <si>
    <t>NW71</t>
  </si>
  <si>
    <t>NW72</t>
  </si>
  <si>
    <t>NW73</t>
  </si>
  <si>
    <t>NW74</t>
  </si>
  <si>
    <t>NIPPON WEATHER PROOF  Dove White  1L</t>
  </si>
  <si>
    <t>NIPPON WEATHER PROOF  Silver Clad Grey  1L</t>
  </si>
  <si>
    <t>NIPPON WEATHER PROOF  Marble Grey  1L</t>
  </si>
  <si>
    <t>NIPPON WEATHER PROOF  Minerva Grey  1L</t>
  </si>
  <si>
    <t>NIPPON WEATHER PROOF  Smoke Grey  1L</t>
  </si>
  <si>
    <t>NIPPON WEATHER PROOF  Mistral  1L</t>
  </si>
  <si>
    <t>NIPPON WEATHER PROOF  Cool Blue  1L</t>
  </si>
  <si>
    <t>NIPPON WEATHER PROOF  Sea Blue  1L</t>
  </si>
  <si>
    <t>NIPPON WEATHER PROOF  Ash Green  1L</t>
  </si>
  <si>
    <t>NIPPON WEATHER PROOF  Flint Grey  1L</t>
  </si>
  <si>
    <t>NIPPON WEATHER PROOF  Rain Dance  1L</t>
  </si>
  <si>
    <t>NIPPON WEATHER PROOF  Viking  1L</t>
  </si>
  <si>
    <t>NIPPON WEATHER PROOF  Tropical Ocean  1L</t>
  </si>
  <si>
    <t>NIPPON WEATHER PROOF  Blue Royal  1L</t>
  </si>
  <si>
    <t>NIPPON WEATHER PROOF  Royal Robes  1L</t>
  </si>
  <si>
    <t>NIPPON WEATHER PROOF  Easter Egg  1L</t>
  </si>
  <si>
    <t>NIPPON WEATHER PROOF  Fairytale  1L</t>
  </si>
  <si>
    <t>NIPPON WEATHER PROOF  French Rose  1L</t>
  </si>
  <si>
    <t>NIPPON WEATHER PROOF  Royal Violet  1L</t>
  </si>
  <si>
    <t>NIPPON WEATHER PROOF  Violet Scream  1L</t>
  </si>
  <si>
    <t>NIPPON WEATHER PROOF  Silver Plum  1L</t>
  </si>
  <si>
    <t>NIPPON WEATHER PROOF  September Dawn  1L</t>
  </si>
  <si>
    <t>NIPPON WEATHER PROOF  Candy Floss  1L</t>
  </si>
  <si>
    <t>NIPPON WEATHER PROOF  Blissful  1L</t>
  </si>
  <si>
    <t>NIPPON WEATHER PROOF  Coral  1L</t>
  </si>
  <si>
    <t>NIPPON WEATHER PROOF  Sunrise  1L</t>
  </si>
  <si>
    <t>NIPPON WEATHER PROOF  Roasted Red  1L</t>
  </si>
  <si>
    <t>NIPPON WEATHER PROOF  Peach Blossom  1L</t>
  </si>
  <si>
    <t>NIPPON WEATHER PROOF  Tile Red  1L</t>
  </si>
  <si>
    <t>NIPPON WEATHER PROOF  Heritage Red  1L</t>
  </si>
  <si>
    <t>NIPPON WEATHER PROOF  Spice  1L</t>
  </si>
  <si>
    <t>NIPPON WEATHER PROOF  Orchid White  1L</t>
  </si>
  <si>
    <t>NIPPON WEATHER PROOF  Magnolia  1L</t>
  </si>
  <si>
    <t>NIPPON WEATHER PROOF  Buttermilk  1L</t>
  </si>
  <si>
    <t>NIPPON WEATHER PROOF  Wholemeal  1L</t>
  </si>
  <si>
    <t>NIPPON WEATHER PROOF  Soft Peach  1L</t>
  </si>
  <si>
    <t>NIPPON WEATHER PROOF  Off White  1L</t>
  </si>
  <si>
    <t>NIPPON WEATHER PROOF  New Pink Rose  1L</t>
  </si>
  <si>
    <t>NIPPON WEATHER PROOF  Lily White  1L</t>
  </si>
  <si>
    <t>NIPPON WEATHER PROOF  Autumn Stone  1L</t>
  </si>
  <si>
    <t>NIPPON WEATHER PROOF  Cameo  1L</t>
  </si>
  <si>
    <t>NIPPON WEATHER PROOF  Sandstone  1L</t>
  </si>
  <si>
    <t>NIPPON WEATHER PROOF  Pale Bamboo  1L</t>
  </si>
  <si>
    <t>NIPPON WEATHER PROOF  Kashmir Beige  1L</t>
  </si>
  <si>
    <t>NIPPON WEATHER PROOF  Canyon Gold  1L</t>
  </si>
  <si>
    <t>NIPPON WEATHER PROOF  Coffee  1L</t>
  </si>
  <si>
    <t>NIPPON WEATHER PROOF  Light Peach  1L</t>
  </si>
  <si>
    <t>NIPPON WEATHER PROOF  Rice Paddy  1L</t>
  </si>
  <si>
    <t>NIPPON WEATHER PROOF  Cairo Gold  1L</t>
  </si>
  <si>
    <t>NIPPON WEATHER PROOF  Golden Mist  1L</t>
  </si>
  <si>
    <t>NIPPON WEATHER PROOF  Topaz  1L</t>
  </si>
  <si>
    <t>NIPPON WEATHER PROOF  Royal Gold  1L</t>
  </si>
  <si>
    <t>NIPPON WEATHER PROOF  Royal  1L</t>
  </si>
  <si>
    <t>NIPPON WEATHER PROOF  Fog Grey  1L</t>
  </si>
  <si>
    <t>NIPPON WEATHER PROOF  Cookis  1L</t>
  </si>
  <si>
    <t>NIPPON WEATHER PROOF  Cool Breeze  1L</t>
  </si>
  <si>
    <t>NIPPON WEATHER PROOF  Rich Yellow  1L</t>
  </si>
  <si>
    <t>NIPPON WEATHER PROOF  Bright Yellow  1L</t>
  </si>
  <si>
    <t>NIPPON WEATHER PROOF  Sherwood  1L</t>
  </si>
  <si>
    <t>NIPPON WEATHER PROOF  Lime Fizz  1L</t>
  </si>
  <si>
    <t>NIPPON WEATHER PROOF  Cream  1L</t>
  </si>
  <si>
    <t>NIPPON WEATHER PROOF  Sun Bright  1L</t>
  </si>
  <si>
    <t>NIPPON WEATHER PROOF  Orange Lantern  1L</t>
  </si>
  <si>
    <t>NIPPON WEATHER PROOF  Orange Spark  1L</t>
  </si>
  <si>
    <t>NIPPON WEATHER PROOF  Sunset  1L</t>
  </si>
  <si>
    <t>NIPPON WEATHER PROOF  Pumpkin  1L</t>
  </si>
  <si>
    <t>NIPPON WEATHER PROOF  Tawny Peach  1L</t>
  </si>
  <si>
    <t>NIPPON WEATHER PROOF  Bamboo  1L</t>
  </si>
  <si>
    <t>NIPPON WEATHER PROOF  Olive  1L</t>
  </si>
  <si>
    <t>NIPPON WEATHER PROOF  Peppermint   1L</t>
  </si>
  <si>
    <t>NIPPON WEATHER PROOF  Kenyan Leaves  1L</t>
  </si>
  <si>
    <t>NIPPON WEATHER PROOF  Amazon  1L</t>
  </si>
  <si>
    <t>NIPPON WEATHER PROOF  Riviera  1L</t>
  </si>
  <si>
    <t>NIPPON WEATHER PROOF  Spruce  1L</t>
  </si>
  <si>
    <t>NIPPON WEATHER PROOF  Dove White  4L</t>
  </si>
  <si>
    <t>NIPPON WEATHER PROOF  Silver Clad Grey  4L</t>
  </si>
  <si>
    <t>NIPPON WEATHER PROOF  Marble Grey  4L</t>
  </si>
  <si>
    <t>NIPPON WEATHER PROOF  Minerva Grey  4L</t>
  </si>
  <si>
    <t>NIPPON WEATHER PROOF  Smoke Grey  4L</t>
  </si>
  <si>
    <t>NIPPON WEATHER PROOF  Mistral  4L</t>
  </si>
  <si>
    <t>NIPPON WEATHER PROOF  Cool Blue  4L</t>
  </si>
  <si>
    <t>NIPPON WEATHER PROOF  Sea Blue  4L</t>
  </si>
  <si>
    <t>NIPPON WEATHER PROOF  Ash Green  4L</t>
  </si>
  <si>
    <t>NIPPON WEATHER PROOF  Flint Grey  4L</t>
  </si>
  <si>
    <t>NIPPON WEATHER PROOF  Rain Dance  4L</t>
  </si>
  <si>
    <t>NIPPON WEATHER PROOF  Viking  4L</t>
  </si>
  <si>
    <t>NIPPON WEATHER PROOF  Tropical Ocean  4L</t>
  </si>
  <si>
    <t>NIPPON WEATHER PROOF  Blue Royal  4L</t>
  </si>
  <si>
    <t>NIPPON WEATHER PROOF  Royal Robes  4L</t>
  </si>
  <si>
    <t>NIPPON WEATHER PROOF  Easter Egg  4L</t>
  </si>
  <si>
    <t>NIPPON WEATHER PROOF  Fairytale  4L</t>
  </si>
  <si>
    <t>NIPPON WEATHER PROOF  French Rose  4L</t>
  </si>
  <si>
    <t>NIPPON WEATHER PROOF  Royal Violet  4L</t>
  </si>
  <si>
    <t>NIPPON WEATHER PROOF  Violet Scream  4L</t>
  </si>
  <si>
    <t>NIPPON WEATHER PROOF  Silver Plum  4L</t>
  </si>
  <si>
    <t>NIPPON WEATHER PROOF  September Dawn  4L</t>
  </si>
  <si>
    <t>NIPPON WEATHER PROOF  Candy Floss  4L</t>
  </si>
  <si>
    <t>NIPPON WEATHER PROOF  Blissful  4L</t>
  </si>
  <si>
    <t>NIPPON WEATHER PROOF  Coral  4L</t>
  </si>
  <si>
    <t>NIPPON WEATHER PROOF  Sunrise  4L</t>
  </si>
  <si>
    <t>NIPPON WEATHER PROOF  Roasted Red  4L</t>
  </si>
  <si>
    <t>NIPPON WEATHER PROOF  Peach Blossom  4L</t>
  </si>
  <si>
    <t>NIPPON WEATHER PROOF  Tile Red  4L</t>
  </si>
  <si>
    <t>NIPPON WEATHER PROOF  Heritage Red  4L</t>
  </si>
  <si>
    <t>NIPPON WEATHER PROOF  Spice  4L</t>
  </si>
  <si>
    <t>NIPPON WEATHER PROOF  Orchid White  4L</t>
  </si>
  <si>
    <t>NIPPON WEATHER PROOF  Magnolia  4L</t>
  </si>
  <si>
    <t>NIPPON WEATHER PROOF  Buttermilk  4L</t>
  </si>
  <si>
    <t>NIPPON WEATHER PROOF  Wholemeal  4L</t>
  </si>
  <si>
    <t>NIPPON WEATHER PROOF  Soft Peach  4L</t>
  </si>
  <si>
    <t>NIPPON WEATHER PROOF  Off White  4L</t>
  </si>
  <si>
    <t>NIPPON WEATHER PROOF  New Pink Rose  4L</t>
  </si>
  <si>
    <t>NIPPON WEATHER PROOF  Lily White  4L</t>
  </si>
  <si>
    <t>NIPPON WEATHER PROOF  Autumn Stone  4L</t>
  </si>
  <si>
    <t>NIPPON WEATHER PROOF  Cameo  4L</t>
  </si>
  <si>
    <t>NIPPON WEATHER PROOF  Sandstone  4L</t>
  </si>
  <si>
    <t>NIPPON WEATHER PROOF  Pale Bamboo  4L</t>
  </si>
  <si>
    <t>NIPPON WEATHER PROOF  Kashmir Beige  4L</t>
  </si>
  <si>
    <t>NIPPON WEATHER PROOF  Canyon Gold  4L</t>
  </si>
  <si>
    <t>NIPPON WEATHER PROOF  Coffee  4L</t>
  </si>
  <si>
    <t>NIPPON WEATHER PROOF  Light Peach  4L</t>
  </si>
  <si>
    <t>NIPPON WEATHER PROOF  Rice Paddy  4L</t>
  </si>
  <si>
    <t>NIPPON WEATHER PROOF  Cairo Gold  4L</t>
  </si>
  <si>
    <t>NIPPON WEATHER PROOF  Golden Mist  4L</t>
  </si>
  <si>
    <t>NIPPON WEATHER PROOF  Topaz  4L</t>
  </si>
  <si>
    <t>NIPPON WEATHER PROOF  Royal Gold  4L</t>
  </si>
  <si>
    <t>NIPPON WEATHER PROOF  Royal  4L</t>
  </si>
  <si>
    <t>NIPPON WEATHER PROOF  Fog Grey  4L</t>
  </si>
  <si>
    <t>NIPPON WEATHER PROOF  Cookis  4L</t>
  </si>
  <si>
    <t>NIPPON WEATHER PROOF  Cool Breeze  4L</t>
  </si>
  <si>
    <t>NIPPON WEATHER PROOF  Rich Yellow  4L</t>
  </si>
  <si>
    <t>NIPPON WEATHER PROOF  Bright Yellow  4L</t>
  </si>
  <si>
    <t>NIPPON WEATHER PROOF  Sherwood  4L</t>
  </si>
  <si>
    <t>NIPPON WEATHER PROOF  Lime Fizz  4L</t>
  </si>
  <si>
    <t>NIPPON WEATHER PROOF  Cream  4L</t>
  </si>
  <si>
    <t>NIPPON WEATHER PROOF  Sun Bright  4L</t>
  </si>
  <si>
    <t>NIPPON WEATHER PROOF  Orange Lantern  4L</t>
  </si>
  <si>
    <t>NIPPON WEATHER PROOF  Orange Spark  4L</t>
  </si>
  <si>
    <t>NIPPON WEATHER PROOF  Sunset  4L</t>
  </si>
  <si>
    <t>NIPPON WEATHER PROOF  Pumpkin  4L</t>
  </si>
  <si>
    <t>NIPPON WEATHER PROOF  Tawny Peach  4L</t>
  </si>
  <si>
    <t>NIPPON WEATHER PROOF  Bamboo  4L</t>
  </si>
  <si>
    <t>NIPPON WEATHER PROOF  Olive  4L</t>
  </si>
  <si>
    <t>NIPPON WEATHER PROOF  Peppermint   4L</t>
  </si>
  <si>
    <t>NIPPON WEATHER PROOF  Kenyan Leaves  4L</t>
  </si>
  <si>
    <t>NIPPON WEATHER PROOF  Amazon  4L</t>
  </si>
  <si>
    <t>NIPPON WEATHER PROOF  Riviera  4L</t>
  </si>
  <si>
    <t>NIPPON WEATHER PROOF  Spruce  4L</t>
  </si>
  <si>
    <t>NIPPON WEATHER PROOF  Dove White  10L</t>
  </si>
  <si>
    <t>NIPPON WEATHER PROOF  Silver Clad Grey  10L</t>
  </si>
  <si>
    <t>NIPPON WEATHER PROOF  Marble Grey  10L</t>
  </si>
  <si>
    <t>NIPPON WEATHER PROOF  Minerva Grey  10L</t>
  </si>
  <si>
    <t>NIPPON WEATHER PROOF  Smoke Grey  10L</t>
  </si>
  <si>
    <t>NIPPON WEATHER PROOF  Mistral  10L</t>
  </si>
  <si>
    <t>NIPPON WEATHER PROOF  Cool Blue  10L</t>
  </si>
  <si>
    <t>NIPPON WEATHER PROOF  Sea Blue  10L</t>
  </si>
  <si>
    <t>NIPPON WEATHER PROOF  Spruce  10L</t>
  </si>
  <si>
    <t>NIPPON WEATHER PROOF  Riviera  10L</t>
  </si>
  <si>
    <t>NIPPON WEATHER PROOF  Amazon  10L</t>
  </si>
  <si>
    <t>NIPPON WEATHER PROOF  Kenyan Leaves  10L</t>
  </si>
  <si>
    <t>NIPPON WEATHER PROOF  Peppermint   10L</t>
  </si>
  <si>
    <t>NIPPON WEATHER PROOF  Olive  10L</t>
  </si>
  <si>
    <t>NIPPON WEATHER PROOF  Bamboo  10L</t>
  </si>
  <si>
    <t>NIPPON WEATHER PROOF  Tawny Peach  10L</t>
  </si>
  <si>
    <t>NIPPON WEATHER PROOF  Pumpkin  10L</t>
  </si>
  <si>
    <t>NIPPON WEATHER PROOF  Sunset  10L</t>
  </si>
  <si>
    <t>NIPPON WEATHER PROOF  Orange Spark  10L</t>
  </si>
  <si>
    <t>NIPPON WEATHER PROOF  Orange Lantern  10L</t>
  </si>
  <si>
    <t>NIPPON WEATHER PROOF  Sun Bright  10L</t>
  </si>
  <si>
    <t>NIPPON WEATHER PROOF  Cream  10L</t>
  </si>
  <si>
    <t>NIPPON WEATHER PROOF  Lime Fizz  10L</t>
  </si>
  <si>
    <t>NIPPON WEATHER PROOF  Sherwood  10L</t>
  </si>
  <si>
    <t>NIPPON WEATHER PROOF  Bright Yellow  10L</t>
  </si>
  <si>
    <t>NIPPON WEATHER PROOF  Rich Yellow  10L</t>
  </si>
  <si>
    <t>NIPPON WEATHER PROOF  Cool Breeze  10L</t>
  </si>
  <si>
    <t>NIPPON WEATHER PROOF  Cookis  10L</t>
  </si>
  <si>
    <t>NIPPON WEATHER PROOF  Fog Grey  10L</t>
  </si>
  <si>
    <t>NIPPON WEATHER PROOF  Royal  10L</t>
  </si>
  <si>
    <t>NIPPON WEATHER PROOF  Royal Gold  10L</t>
  </si>
  <si>
    <t>NIPPON WEATHER PROOF  Topaz  10L</t>
  </si>
  <si>
    <t>NIPPON WEATHER PROOF  Golden Mist  10L</t>
  </si>
  <si>
    <t>NIPPON WEATHER PROOF  Cairo Gold  10L</t>
  </si>
  <si>
    <t>NIPPON WEATHER PROOF  Rice Paddy  10L</t>
  </si>
  <si>
    <t>NIPPON WEATHER PROOF  Light Peach  10L</t>
  </si>
  <si>
    <t>NIPPON WEATHER PROOF  Coffee  10L</t>
  </si>
  <si>
    <t>NIPPON WEATHER PROOF  Canyon Gold  10L</t>
  </si>
  <si>
    <t>NIPPON WEATHER PROOF  Kashmir Beige  10L</t>
  </si>
  <si>
    <t>NIPPON WEATHER PROOF  Pale Bamboo  10L</t>
  </si>
  <si>
    <t>NIPPON WEATHER PROOF  Sandstone  10L</t>
  </si>
  <si>
    <t>NIPPON WEATHER PROOF  Cameo  10L</t>
  </si>
  <si>
    <t>NIPPON WEATHER PROOF  Autumn Stone  10L</t>
  </si>
  <si>
    <t>NIPPON WEATHER PROOF  Lily White  10L</t>
  </si>
  <si>
    <t>NIPPON WEATHER PROOF  New Pink Rose  10L</t>
  </si>
  <si>
    <t>NIPPON WEATHER PROOF  Off White  10L</t>
  </si>
  <si>
    <t>NIPPON WEATHER PROOF  Wholemeal  10L</t>
  </si>
  <si>
    <t>NIPPON WEATHER PROOF  Soft Peach  10L</t>
  </si>
  <si>
    <t>NIPPON WEATHER PROOF  Tile Red  10L</t>
  </si>
  <si>
    <t>NIPPON WEATHER PROOF  Heritage Red  10L</t>
  </si>
  <si>
    <t>NIPPON WEATHER PROOF  Spice  10L</t>
  </si>
  <si>
    <t>NIPPON WEATHER PROOF  Orchid White  10L</t>
  </si>
  <si>
    <t>NIPPON WEATHER PROOF  Magnolia  10L</t>
  </si>
  <si>
    <t>NIPPON WEATHER PROOF  Buttermilk  10L</t>
  </si>
  <si>
    <t>NIPPON WEATHER PROOF  Peach Blossom  10L</t>
  </si>
  <si>
    <t>NIPPON WEATHER PROOF  Roasted Red  10L</t>
  </si>
  <si>
    <t>NIPPON WEATHER PROOF  Sunrise  10L</t>
  </si>
  <si>
    <t>NIPPON WEATHER PROOF  Coral  10L</t>
  </si>
  <si>
    <t>NIPPON WEATHER PROOF  Blissful  10L</t>
  </si>
  <si>
    <t>NIPPON WEATHER PROOF  Candy Floss  10L</t>
  </si>
  <si>
    <t>NIPPON WEATHER PROOF  September Dawn  10L</t>
  </si>
  <si>
    <t>NIPPON WEATHER PROOF  Silver Plum  10L</t>
  </si>
  <si>
    <t>NIPPON WEATHER PROOF  Violet Scream  10L</t>
  </si>
  <si>
    <t>NIPPON WEATHER PROOF  Royal Violet  10L</t>
  </si>
  <si>
    <t>NIPPON WEATHER PROOF  French Rose  10L</t>
  </si>
  <si>
    <t>NIPPON WEATHER PROOF  Fairytale  10L</t>
  </si>
  <si>
    <t>NIPPON WEATHER PROOF  Easter Egg  10L</t>
  </si>
  <si>
    <t>NIPPON WEATHER PROOF  Royal Robes  10L</t>
  </si>
  <si>
    <t>NIPPON WEATHER PROOF  Blue Royal  10L</t>
  </si>
  <si>
    <t>NIPPON WEATHER PROOF  Tropical Ocean  10L</t>
  </si>
  <si>
    <t>NIPPON WEATHER PROOF  Viking  10L</t>
  </si>
  <si>
    <t>NIPPON WEATHER PROOF  Rain Dance  10L</t>
  </si>
  <si>
    <t>NIPPON WEATHER PROOF  Flint Grey  10L</t>
  </si>
  <si>
    <t>NIPPON WEATHER PROOF  Ash Green  10L</t>
  </si>
  <si>
    <t>NIPPON WEATHER PROOF  Dove White  20L</t>
  </si>
  <si>
    <t>NIPPON WEATHER PROOF  Silver Clad Grey  20L</t>
  </si>
  <si>
    <t>NIPPON WEATHER PROOF  Marble Grey  20L</t>
  </si>
  <si>
    <t>NIPPON WEATHER PROOF  Minerva Grey  20L</t>
  </si>
  <si>
    <t>NIPPON WEATHER PROOF  Smoke Grey  20L</t>
  </si>
  <si>
    <t>NIPPON WEATHER PROOF  Mistral  20L</t>
  </si>
  <si>
    <t>NIPPON WEATHER PROOF  Cool Blue  20L</t>
  </si>
  <si>
    <t>NIPPON WEATHER PROOF  Spruce  20L</t>
  </si>
  <si>
    <t>NIPPON WEATHER PROOF  Riviera  20L</t>
  </si>
  <si>
    <t>NIPPON WEATHER PROOF  Amazon  20L</t>
  </si>
  <si>
    <t>NIPPON WEATHER PROOF  Kenyan Leaves  20L</t>
  </si>
  <si>
    <t>NIPPON WEATHER PROOF  Peppermint   20L</t>
  </si>
  <si>
    <t>NIPPON WEATHER PROOF  Olive  20L</t>
  </si>
  <si>
    <t>NIPPON WEATHER PROOF  Bamboo  20L</t>
  </si>
  <si>
    <t>NIPPON WEATHER PROOF  Tawny Peach  20L</t>
  </si>
  <si>
    <t>NIPPON WEATHER PROOF  Pumpkin  20L</t>
  </si>
  <si>
    <t>NIPPON WEATHER PROOF  Sunset  20L</t>
  </si>
  <si>
    <t>NIPPON WEATHER PROOF  Orange Spark  20L</t>
  </si>
  <si>
    <t>NIPPON WEATHER PROOF  Orange Lantern  20L</t>
  </si>
  <si>
    <t>NIPPON WEATHER PROOF  Sun Bright  20L</t>
  </si>
  <si>
    <t>NIPPON WEATHER PROOF  Cream  20L</t>
  </si>
  <si>
    <t>NIPPON WEATHER PROOF  Lime Fizz  20L</t>
  </si>
  <si>
    <t>NIPPON WEATHER PROOF  Sherwood  20L</t>
  </si>
  <si>
    <t>NIPPON WEATHER PROOF  Bright Yellow  20L</t>
  </si>
  <si>
    <t>NIPPON WEATHER PROOF  Rich Yellow  20L</t>
  </si>
  <si>
    <t>NIPPON WEATHER PROOF  Cool Breeze  20L</t>
  </si>
  <si>
    <t>NIPPON WEATHER PROOF  Cookis  20L</t>
  </si>
  <si>
    <t>NIPPON WEATHER PROOF  Fog Grey  20L</t>
  </si>
  <si>
    <t>NIPPON WEATHER PROOF  Royal  20L</t>
  </si>
  <si>
    <t>NIPPON WEATHER PROOF  Sea Blue  20L</t>
  </si>
  <si>
    <t>NIPPON WEATHER PROOF  Ash Green  20L</t>
  </si>
  <si>
    <t>NIPPON WEATHER PROOF  Flint Grey  20L</t>
  </si>
  <si>
    <t>NIPPON WEATHER PROOF  Rain Dance  20L</t>
  </si>
  <si>
    <t>NIPPON WEATHER PROOF  Viking  20L</t>
  </si>
  <si>
    <t>NIPPON WEATHER PROOF  Tropical Ocean  20L</t>
  </si>
  <si>
    <t>NIPPON WEATHER PROOF  Royal Gold  20L</t>
  </si>
  <si>
    <t>NIPPON WEATHER PROOF  Topaz  20L</t>
  </si>
  <si>
    <t>NIPPON WEATHER PROOF  Golden Mist  20L</t>
  </si>
  <si>
    <t>NIPPON WEATHER PROOF  Cairo Gold  20L</t>
  </si>
  <si>
    <t>NIPPON WEATHER PROOF  Rice Paddy  20L</t>
  </si>
  <si>
    <t>NIPPON WEATHER PROOF  Light Peach  20L</t>
  </si>
  <si>
    <t>NIPPON WEATHER PROOF  Coffee  20L</t>
  </si>
  <si>
    <t>NIPPON WEATHER PROOF  Canyon Gold  20L</t>
  </si>
  <si>
    <t>NIPPON WEATHER PROOF  Kashmir Beige  20L</t>
  </si>
  <si>
    <t>NIPPON WEATHER PROOF  Pale Bamboo  20L</t>
  </si>
  <si>
    <t>NIPPON WEATHER PROOF  Sandstone  20L</t>
  </si>
  <si>
    <t>NIPPON WEATHER PROOF  Lily White  20L</t>
  </si>
  <si>
    <t>NIPPON WEATHER PROOF  Autumn Stone  20L</t>
  </si>
  <si>
    <t>NIPPON WEATHER PROOF  Cameo  20L</t>
  </si>
  <si>
    <t>NIPPON WEATHER PROOF  New Pink Rose  20L</t>
  </si>
  <si>
    <t>NIPPON WEATHER PROOF  Off White  20L</t>
  </si>
  <si>
    <t>NIPPON WEATHER PROOF  Soft Peach  20L</t>
  </si>
  <si>
    <t>NIPPON WEATHER PROOF  Wholemeal  20L</t>
  </si>
  <si>
    <t>NIPPON WEATHER PROOF  Buttermilk  20L</t>
  </si>
  <si>
    <t>NIPPON WEATHER PROOF  Magnolia  20L</t>
  </si>
  <si>
    <t>NIPPON WEATHER PROOF  Orchid White  20L</t>
  </si>
  <si>
    <t>NIPPON WEATHER PROOF  Spice  20L</t>
  </si>
  <si>
    <t>NIPPON WEATHER PROOF  Violet Scream  20L</t>
  </si>
  <si>
    <t>NIPPON WEATHER PROOF  Silver Plum  20L</t>
  </si>
  <si>
    <t>NIPPON WEATHER PROOF  September Dawn  20L</t>
  </si>
  <si>
    <t>NIPPON WEATHER PROOF  Candy Floss  20L</t>
  </si>
  <si>
    <t>NIPPON WEATHER PROOF  Blissful  20L</t>
  </si>
  <si>
    <t>NIPPON WEATHER PROOF  Coral  20L</t>
  </si>
  <si>
    <t>NIPPON WEATHER PROOF  Sunrise  20L</t>
  </si>
  <si>
    <t>NIPPON WEATHER PROOF  Roasted Red  20L</t>
  </si>
  <si>
    <t>NIPPON WEATHER PROOF  Peach Blossom  20L</t>
  </si>
  <si>
    <t>NIPPON WEATHER PROOF  Tile Red  20L</t>
  </si>
  <si>
    <t>NIPPON WEATHER PROOF  Heritage Red  20L</t>
  </si>
  <si>
    <t>NIPPON WEATHER PROOF  Blue Royal  20L</t>
  </si>
  <si>
    <t>NIPPON WEATHER PROOF  Royal Robes  20L</t>
  </si>
  <si>
    <t>NIPPON WEATHER PROOF  Easter Egg  20L</t>
  </si>
  <si>
    <t>NIPPON WEATHER PROOF  Fairytale  20L</t>
  </si>
  <si>
    <t>NIPPON WEATHER PROOF  French Rose  20L</t>
  </si>
  <si>
    <t>NIPPON WEATHER PROOF  Royal Violet  20L</t>
  </si>
  <si>
    <t>NIPPON WEATHER PROOF 1L</t>
  </si>
  <si>
    <t>NIPPON WEATHER PROOF 4L</t>
  </si>
  <si>
    <t>NIPPON WEATHER PROOF 10L</t>
  </si>
  <si>
    <t>NIPPON WEATHER PROOF 20L</t>
  </si>
  <si>
    <t>EN 1</t>
  </si>
  <si>
    <t>EN 2</t>
  </si>
  <si>
    <t>EN 3</t>
  </si>
  <si>
    <t>EN 4</t>
  </si>
  <si>
    <t>EN 5</t>
  </si>
  <si>
    <t>EN 6</t>
  </si>
  <si>
    <t>EN 7</t>
  </si>
  <si>
    <t>EN 8</t>
  </si>
  <si>
    <t>EN 9</t>
  </si>
  <si>
    <t>EN 10</t>
  </si>
  <si>
    <t>EN 11</t>
  </si>
  <si>
    <t>EN 12</t>
  </si>
  <si>
    <t>EN 13</t>
  </si>
  <si>
    <t>EN 14</t>
  </si>
  <si>
    <t>EN 15</t>
  </si>
  <si>
    <t>EN 16</t>
  </si>
  <si>
    <t>EN 17</t>
  </si>
  <si>
    <t>EN 18</t>
  </si>
  <si>
    <t>EN 19</t>
  </si>
  <si>
    <t>EN 20</t>
  </si>
  <si>
    <t>EN 21</t>
  </si>
  <si>
    <t>EN 22</t>
  </si>
  <si>
    <t>EN 23</t>
  </si>
  <si>
    <t>EN 24</t>
  </si>
  <si>
    <t>EN 25</t>
  </si>
  <si>
    <t>EN 26</t>
  </si>
  <si>
    <t>EN 27</t>
  </si>
  <si>
    <t>EN 28</t>
  </si>
  <si>
    <t>EN 29</t>
  </si>
  <si>
    <t>EN 30</t>
  </si>
  <si>
    <t>EN 31</t>
  </si>
  <si>
    <t>EN 32</t>
  </si>
  <si>
    <t>EN 33</t>
  </si>
  <si>
    <t>EN 34</t>
  </si>
  <si>
    <t>EN 35</t>
  </si>
  <si>
    <t>EN 36</t>
  </si>
  <si>
    <t>EN 37</t>
  </si>
  <si>
    <t>EN 38</t>
  </si>
  <si>
    <t>EN 39</t>
  </si>
  <si>
    <t>EN 40</t>
  </si>
  <si>
    <t>EN 41</t>
  </si>
  <si>
    <t>EN 42</t>
  </si>
  <si>
    <t>EN 43</t>
  </si>
  <si>
    <t>EN 44</t>
  </si>
  <si>
    <t>EN 45</t>
  </si>
  <si>
    <t>EN 46</t>
  </si>
  <si>
    <t>EN 47</t>
  </si>
  <si>
    <t>EN 48</t>
  </si>
  <si>
    <t>EN 49</t>
  </si>
  <si>
    <t>NIPPON ENAMEL Lily White  500ml</t>
  </si>
  <si>
    <t>NIPPON ENAMEL Kandy Green  500ml</t>
  </si>
  <si>
    <t>NIPPON ENAMEL Baby Blue  500ml</t>
  </si>
  <si>
    <t>NIPPON ENAMEL Sandstone  500ml</t>
  </si>
  <si>
    <t>NIPPON ENAMEL Pinkly  500ml</t>
  </si>
  <si>
    <t>NIPPON ENAMEL Lvory  500ml</t>
  </si>
  <si>
    <t>NIPPON ENAMEL Evergreen  500ml</t>
  </si>
  <si>
    <t>NIPPON ENAMEL Pacific Coast  500ml</t>
  </si>
  <si>
    <t>NIPPON ENAMEL Pale Grew  500ml</t>
  </si>
  <si>
    <t>NIPPON ENAMEL Shell Pink   500ml</t>
  </si>
  <si>
    <t>NIPPON ENAMEL Buttermilk  500ml</t>
  </si>
  <si>
    <t>NIPPON ENAMEL Aqua Pool  500ml</t>
  </si>
  <si>
    <t>NIPPON ENAMEL Cornflower Blue  500ml</t>
  </si>
  <si>
    <t>NIPPON ENAMEL Lavender Grey  500ml</t>
  </si>
  <si>
    <t>NIPPON ENAMEL Sunrise  500ml</t>
  </si>
  <si>
    <t>NIPPON ENAMEL Jasmine Yellow  500ml</t>
  </si>
  <si>
    <t>NIPPON ENAMEL Sherwood  500ml</t>
  </si>
  <si>
    <t>NIPPON ENAMEL Vivid Blue  500ml</t>
  </si>
  <si>
    <t>NIPPON ENAMEL Purple Dawn  500ml</t>
  </si>
  <si>
    <t>NIPPON ENAMEL Flame Orange  500ml</t>
  </si>
  <si>
    <t>NIPPON ENAMEL Cream  500ml</t>
  </si>
  <si>
    <t>NIPPON ENAMEL Mirage  500ml</t>
  </si>
  <si>
    <t>NIPPON ENAMEL Blue Violet  500ml</t>
  </si>
  <si>
    <t>NIPPON ENAMEL Earth Fired Red  500ml</t>
  </si>
  <si>
    <t>NIPPON ENAMEL Poppy  500ml</t>
  </si>
  <si>
    <t>NIPPON ENAMEL Golden Yellow  500ml</t>
  </si>
  <si>
    <t>NIPPON ENAMEL Emerald Green  500ml</t>
  </si>
  <si>
    <t>NIPPON ENAMEL French Blue  500ml</t>
  </si>
  <si>
    <t>NIPPON ENAMEL Passion Pink  500ml</t>
  </si>
  <si>
    <t>NIPPON ENAMEL Oak  500ml</t>
  </si>
  <si>
    <t>NIPPON ENAMEL Flamingo  500ml</t>
  </si>
  <si>
    <t>NIPPON ENAMEL Slate Grey  500ml</t>
  </si>
  <si>
    <t>NIPPON ENAMEL Marine Blue  500ml</t>
  </si>
  <si>
    <t>NIPPON ENAMEL Tempest  500ml</t>
  </si>
  <si>
    <t>NIPPON ENAMEL Carnation Red  500ml</t>
  </si>
  <si>
    <t>NIPPON ENAMEL Bamboo  500ml</t>
  </si>
  <si>
    <t>NIPPON ENAMEL Bright Green  500ml</t>
  </si>
  <si>
    <t>NIPPON ENAMEL Navy Blue  500ml</t>
  </si>
  <si>
    <t>NIPPON ENAMEL Golden Brown  500ml</t>
  </si>
  <si>
    <t>NIPPON ENAMEL Post Office Red  500ml</t>
  </si>
  <si>
    <t>NIPPON ENAMEL Steel Grey  500ml</t>
  </si>
  <si>
    <t>NIPPON ENAMEL Sylven Green  500ml</t>
  </si>
  <si>
    <t>NIPPON ENAMEL Oxford Blue  500ml</t>
  </si>
  <si>
    <t>NIPPON ENAMEL Spice  500ml</t>
  </si>
  <si>
    <t>NIPPON ENAMEL Teak Brown  500ml</t>
  </si>
  <si>
    <t>NIPPON ENAMEL Pebble Grey  500ml</t>
  </si>
  <si>
    <t>NIPPON ENAMEL Gluf Red  500ml</t>
  </si>
  <si>
    <t>NIPPON ENAMEL Antique Brown  500ml</t>
  </si>
  <si>
    <t>NIPPON ENAMEL Mahogani  500ml</t>
  </si>
  <si>
    <t>NIPPON ENAMEL Lily White  1L</t>
  </si>
  <si>
    <t>NIPPON ENAMEL Kandy Green  1L</t>
  </si>
  <si>
    <t>NIPPON ENAMEL Baby Blue  1L</t>
  </si>
  <si>
    <t>NIPPON ENAMEL Sandstone  1L</t>
  </si>
  <si>
    <t>NIPPON ENAMEL Pinkly  1L</t>
  </si>
  <si>
    <t>NIPPON ENAMEL Lvory  1L</t>
  </si>
  <si>
    <t>NIPPON ENAMEL Evergreen  1L</t>
  </si>
  <si>
    <t>NIPPON ENAMEL Pacific Coast  1L</t>
  </si>
  <si>
    <t>NIPPON ENAMEL Pale Grew  1L</t>
  </si>
  <si>
    <t>NIPPON ENAMEL Shell Pink   1L</t>
  </si>
  <si>
    <t>NIPPON ENAMEL Buttermilk  1L</t>
  </si>
  <si>
    <t>NIPPON ENAMEL Aqua Pool  1L</t>
  </si>
  <si>
    <t>NIPPON ENAMEL Cornflower Blue  1L</t>
  </si>
  <si>
    <t>NIPPON ENAMEL Lavender Grey  1L</t>
  </si>
  <si>
    <t>NIPPON ENAMEL Sunrise  1L</t>
  </si>
  <si>
    <t>NIPPON ENAMEL Jasmine Yellow  1L</t>
  </si>
  <si>
    <t>NIPPON ENAMEL Sherwood  1L</t>
  </si>
  <si>
    <t>NIPPON ENAMEL Vivid Blue  1L</t>
  </si>
  <si>
    <t>NIPPON ENAMEL Purple Dawn  1L</t>
  </si>
  <si>
    <t>NIPPON ENAMEL Flame Orange  1L</t>
  </si>
  <si>
    <t>NIPPON ENAMEL Cream  1L</t>
  </si>
  <si>
    <t>NIPPON ENAMEL Mirage  1L</t>
  </si>
  <si>
    <t>NIPPON ENAMEL Blue Violet  1L</t>
  </si>
  <si>
    <t>NIPPON ENAMEL Earth Fired Red  1L</t>
  </si>
  <si>
    <t>NIPPON ENAMEL Poppy  1L</t>
  </si>
  <si>
    <t>NIPPON ENAMEL Golden Yellow  1L</t>
  </si>
  <si>
    <t>NIPPON ENAMEL Emerald Green  1L</t>
  </si>
  <si>
    <t>NIPPON ENAMEL French Blue  1L</t>
  </si>
  <si>
    <t>NIPPON ENAMEL Passion Pink  1L</t>
  </si>
  <si>
    <t>NIPPON ENAMEL Oak  1L</t>
  </si>
  <si>
    <t>NIPPON ENAMEL Flamingo  1L</t>
  </si>
  <si>
    <t>NIPPON ENAMEL Slate Grey  1L</t>
  </si>
  <si>
    <t>NIPPON ENAMEL Marine Blue  1L</t>
  </si>
  <si>
    <t>NIPPON ENAMEL Tempest  1L</t>
  </si>
  <si>
    <t>NIPPON ENAMEL Carnation Red  1L</t>
  </si>
  <si>
    <t>NIPPON ENAMEL Bamboo  1L</t>
  </si>
  <si>
    <t>NIPPON ENAMEL Bright Green  1L</t>
  </si>
  <si>
    <t>NIPPON ENAMEL Navy Blue  1L</t>
  </si>
  <si>
    <t>NIPPON ENAMEL Golden Brown  1L</t>
  </si>
  <si>
    <t>NIPPON ENAMEL Post Office Red  1L</t>
  </si>
  <si>
    <t>NIPPON ENAMEL Steel Grey  1L</t>
  </si>
  <si>
    <t>NIPPON ENAMEL Sylven Green  1L</t>
  </si>
  <si>
    <t>NIPPON ENAMEL Oxford Blue  1L</t>
  </si>
  <si>
    <t>NIPPON ENAMEL Spice  1L</t>
  </si>
  <si>
    <t>NIPPON ENAMEL Teak Brown  1L</t>
  </si>
  <si>
    <t>NIPPON ENAMEL Pebble Grey  1L</t>
  </si>
  <si>
    <t>NIPPON ENAMEL Gluf Red  1L</t>
  </si>
  <si>
    <t>NIPPON ENAMEL Antique Brown  1L</t>
  </si>
  <si>
    <t>NIPPON ENAMEL Mahogani  1L</t>
  </si>
  <si>
    <t>NIPPON ENAMEL Lily White  4L</t>
  </si>
  <si>
    <t>NIPPON ENAMEL Kandy Green  4L</t>
  </si>
  <si>
    <t>NIPPON ENAMEL Baby Blue  4L</t>
  </si>
  <si>
    <t>NIPPON ENAMEL Sandstone  4L</t>
  </si>
  <si>
    <t>NIPPON ENAMEL Pinkly  4L</t>
  </si>
  <si>
    <t>NIPPON ENAMEL Lvory  4L</t>
  </si>
  <si>
    <t>NIPPON ENAMEL Evergreen  4L</t>
  </si>
  <si>
    <t>NIPPON ENAMEL Pacific Coast  4L</t>
  </si>
  <si>
    <t>NIPPON ENAMEL Pale Grew  4L</t>
  </si>
  <si>
    <t>NIPPON ENAMEL Shell Pink   4L</t>
  </si>
  <si>
    <t>NIPPON ENAMEL Buttermilk  4L</t>
  </si>
  <si>
    <t>NIPPON ENAMEL Aqua Pool  4L</t>
  </si>
  <si>
    <t>NIPPON ENAMEL Cornflower Blue  4L</t>
  </si>
  <si>
    <t>NIPPON ENAMEL Lavender Grey  4L</t>
  </si>
  <si>
    <t>NIPPON ENAMEL Sunrise  4L</t>
  </si>
  <si>
    <t>NIPPON ENAMEL Jasmine Yellow  4L</t>
  </si>
  <si>
    <t>NIPPON ENAMEL Sherwood  4L</t>
  </si>
  <si>
    <t>NIPPON ENAMEL Vivid Blue  4L</t>
  </si>
  <si>
    <t>NIPPON ENAMEL Purple Dawn  4L</t>
  </si>
  <si>
    <t>NIPPON ENAMEL Flame Orange  4L</t>
  </si>
  <si>
    <t>NIPPON ENAMEL Cream  4L</t>
  </si>
  <si>
    <t>NIPPON ENAMEL Mirage  4L</t>
  </si>
  <si>
    <t>NIPPON ENAMEL Blue Violet  4L</t>
  </si>
  <si>
    <t>NIPPON ENAMEL Earth Fired Red  4L</t>
  </si>
  <si>
    <t>NIPPON ENAMEL Poppy  4L</t>
  </si>
  <si>
    <t>NIPPON ENAMEL Golden Yellow  4L</t>
  </si>
  <si>
    <t>NIPPON ENAMEL Emerald Green  4L</t>
  </si>
  <si>
    <t>NIPPON ENAMEL French Blue  4L</t>
  </si>
  <si>
    <t>NIPPON ENAMEL Passion Pink  4L</t>
  </si>
  <si>
    <t>NIPPON ENAMEL Oak  4L</t>
  </si>
  <si>
    <t>NIPPON ENAMEL Flamingo  4L</t>
  </si>
  <si>
    <t>NIPPON ENAMEL Slate Grey  4L</t>
  </si>
  <si>
    <t>NIPPON ENAMEL Marine Blue  4L</t>
  </si>
  <si>
    <t>NIPPON ENAMEL Tempest  4L</t>
  </si>
  <si>
    <t>NIPPON ENAMEL Carnation Red  4L</t>
  </si>
  <si>
    <t>NIPPON ENAMEL Bamboo  4L</t>
  </si>
  <si>
    <t>NIPPON ENAMEL Bright Green  4L</t>
  </si>
  <si>
    <t>NIPPON ENAMEL Navy Blue  4L</t>
  </si>
  <si>
    <t>NIPPON ENAMEL Golden Brown  4L</t>
  </si>
  <si>
    <t>NIPPON ENAMEL Post Office Red  4L</t>
  </si>
  <si>
    <t>NIPPON ENAMEL Steel Grey  4L</t>
  </si>
  <si>
    <t>NIPPON ENAMEL Sylven Green  4L</t>
  </si>
  <si>
    <t>NIPPON ENAMEL Oxford Blue  4L</t>
  </si>
  <si>
    <t>NIPPON ENAMEL Spice  4L</t>
  </si>
  <si>
    <t>NIPPON ENAMEL Teak Brown  4L</t>
  </si>
  <si>
    <t>NIPPON ENAMEL Pebble Grey  4L</t>
  </si>
  <si>
    <t>NIPPON ENAMEL Gluf Red  4L</t>
  </si>
  <si>
    <t>NIPPON ENAMEL Antique Brown  4L</t>
  </si>
  <si>
    <t>NIPPON ENAMEL Mahogani  4L</t>
  </si>
  <si>
    <t>NIPPON ENAMEL Lily White  200ml</t>
  </si>
  <si>
    <t>NIPPON ENAMEL Kandy Green  200ml</t>
  </si>
  <si>
    <t>NIPPON ENAMEL Baby Blue  200ml</t>
  </si>
  <si>
    <t>NIPPON ENAMEL Sandstone  200ml</t>
  </si>
  <si>
    <t>NIPPON ENAMEL Pinkly  200ml</t>
  </si>
  <si>
    <t>NIPPON ENAMEL Lvory  200ml</t>
  </si>
  <si>
    <t>NIPPON ENAMEL Evergreen 200ml</t>
  </si>
  <si>
    <t>NIPPON ENAMEL Pacific Coast 200ml</t>
  </si>
  <si>
    <t>NIPPON ENAMEL Pale Grew  200ml</t>
  </si>
  <si>
    <t>NIPPON ENAMEL Shell Pink   200ml</t>
  </si>
  <si>
    <t>NIPPON ENAMEL Buttermilk  200ml</t>
  </si>
  <si>
    <t>NIPPON ENAMEL Aqua Pool  200ml</t>
  </si>
  <si>
    <t>NIPPON ENAMEL Cornflower Blue  200ml</t>
  </si>
  <si>
    <t>NIPPON ENAMEL Lavender Grey  200ml</t>
  </si>
  <si>
    <t>NIPPON ENAMEL Sunrise  200ml</t>
  </si>
  <si>
    <t>NIPPON ENAMEL Jasmine Yellow  200ml</t>
  </si>
  <si>
    <t>NIPPON ENAMEL Sherwood  200ml</t>
  </si>
  <si>
    <t>NIPPON ENAMEL Vivid Blue  200ml</t>
  </si>
  <si>
    <t>NIPPON ENAMEL Purple Dawn  200mll</t>
  </si>
  <si>
    <t>NIPPON ENAMEL Flame Orange  200ml</t>
  </si>
  <si>
    <t>NIPPON ENAMEL Cream 200ml</t>
  </si>
  <si>
    <t>NIPPON ENAMEL Mirage  200ml</t>
  </si>
  <si>
    <t>NIPPON ENAMEL Blue Violet 200ml</t>
  </si>
  <si>
    <t>NIPPON ENAMEL Earth Fired Red  200ml</t>
  </si>
  <si>
    <t>NIPPON ENAMEL Poppy  200ml</t>
  </si>
  <si>
    <t>NIPPON ENAMEL Golden Yellow  200ml</t>
  </si>
  <si>
    <t>NIPPON ENAMEL Emerald Green  200ml</t>
  </si>
  <si>
    <t>NIPPON ENAMEL French Blue  200ml</t>
  </si>
  <si>
    <t>NIPPON ENAMEL Passion Pink  200ml</t>
  </si>
  <si>
    <t>NIPPON ENAMEL Oak  200ml</t>
  </si>
  <si>
    <t>NIPPON ENAMEL Flamingo  200ml</t>
  </si>
  <si>
    <t>NIPPON ENAMEL Slate Grey  200ml</t>
  </si>
  <si>
    <t>NIPPON ENAMEL Marine Blue  200ml</t>
  </si>
  <si>
    <t>NIPPON ENAMEL Tempest  200ml</t>
  </si>
  <si>
    <t>NIPPON ENAMEL Carnation Red  200ml</t>
  </si>
  <si>
    <t>NIPPON ENAMEL Bamboo  200ml</t>
  </si>
  <si>
    <t>NIPPON ENAMEL Bright Green 200ml</t>
  </si>
  <si>
    <t>NIPPON ENAMEL Navy Blue  200ml</t>
  </si>
  <si>
    <t>NIPPON ENAMEL Golden Brown  200ml</t>
  </si>
  <si>
    <t>NIPPON ENAMEL Post Office Red 200ml</t>
  </si>
  <si>
    <t>NIPPON ENAMEL Steel Grey  200ml</t>
  </si>
  <si>
    <t>NIPPON ENAMEL Sylven Green  200ml</t>
  </si>
  <si>
    <t>NIPPON ENAMEL Oxford Blue  200ml</t>
  </si>
  <si>
    <t>NIPPON ENAMEL Spice  200ml</t>
  </si>
  <si>
    <t>NIPPON ENAMEL Teak Brown  200ml</t>
  </si>
  <si>
    <t>NIPPON ENAMEL Pebble Grey  200ml</t>
  </si>
  <si>
    <t>NIPPON ENAMEL Gluf Red  200ml</t>
  </si>
  <si>
    <t>NIPPON ENAMEL Antique Brown  200ml</t>
  </si>
  <si>
    <t>NIPPON ENAMEL Mahogani  200ml</t>
  </si>
  <si>
    <t>එනමල් 500ml</t>
  </si>
  <si>
    <t>එනමල් 1L</t>
  </si>
  <si>
    <t>එනමල් 4L</t>
  </si>
  <si>
    <t>එනමල් 200ml</t>
  </si>
  <si>
    <t>BREEZE EMULSION Sherwood  1L</t>
  </si>
  <si>
    <t>BREEZE EMULSION Lime fizz  1L</t>
  </si>
  <si>
    <t>BREEZE EMULSION Sun Flower  1L</t>
  </si>
  <si>
    <t>BREEZE EMULSION Sunny Side Lane  1L</t>
  </si>
  <si>
    <t>BREEZE EMULSION Roasted Red  1L</t>
  </si>
  <si>
    <t>BREEZE EMULSION Sunset  1L</t>
  </si>
  <si>
    <t>BREEZE EMULSION Butter Milk  1L</t>
  </si>
  <si>
    <t>BREEZE EMULSION Lily White  1L</t>
  </si>
  <si>
    <t>BREEZE EMULSION Coral  1L</t>
  </si>
  <si>
    <t>BREEZE EMULSION Pinky Ruffles  1L</t>
  </si>
  <si>
    <t>BREEZE EMULSION Fairy Tale  1L</t>
  </si>
  <si>
    <t>BREEZE EMULSION Orchid  1L</t>
  </si>
  <si>
    <t>BREEZE EMULSION Paradise Water  1L</t>
  </si>
  <si>
    <t>BREEZE EMULSION Boat Race  1L</t>
  </si>
  <si>
    <t>BREEZE EMULSION Sherwood   4L</t>
  </si>
  <si>
    <t>BREEZE EMULSION Lime fizz   4L</t>
  </si>
  <si>
    <t>BREEZE EMULSION Sun Flower   4L</t>
  </si>
  <si>
    <t>BREEZE EMULSION Sunny Side Lane   4L</t>
  </si>
  <si>
    <t>BREEZE EMULSION Roasted Red   4L</t>
  </si>
  <si>
    <t>BREEZE EMULSION Sunset   4L</t>
  </si>
  <si>
    <t>BREEZE EMULSION Butter Milk   4L</t>
  </si>
  <si>
    <t>BREEZE EMULSION Lily White   4L</t>
  </si>
  <si>
    <t>BREEZE EMULSION Coral   4L</t>
  </si>
  <si>
    <t>BREEZE EMULSION Pinky Ruffles   4L</t>
  </si>
  <si>
    <t>BREEZE EMULSION Fairy Tale   4L</t>
  </si>
  <si>
    <t>BREEZE EMULSION Orchid   4L</t>
  </si>
  <si>
    <t>BREEZE EMULSION Paradise Water   4L</t>
  </si>
  <si>
    <t>BREEZE EMULSION Boat Race   4L</t>
  </si>
  <si>
    <t>BREEZE EMULSION Sherwood  10L</t>
  </si>
  <si>
    <t>BREEZE EMULSION Lime fizz 10L</t>
  </si>
  <si>
    <t>BREEZE EMULSION Sun Flower 10L</t>
  </si>
  <si>
    <t>BREEZE EMULSION Sunny Side Lane 10L</t>
  </si>
  <si>
    <t>BREEZE EMULSION Roasted Red 10L</t>
  </si>
  <si>
    <t>BREEZE EMULSION Sunset 10L</t>
  </si>
  <si>
    <t>BREEZE EMULSION Butter Milk 10L</t>
  </si>
  <si>
    <t>BREEZE EMULSION Lily White 10L</t>
  </si>
  <si>
    <t>BREEZE EMULSION Coral 10L</t>
  </si>
  <si>
    <t>BREEZE EMULSION Pinky Ruffles 10L</t>
  </si>
  <si>
    <t>BREEZE EMULSION Fairy Tale 10L</t>
  </si>
  <si>
    <t>BREEZE EMULSION Orchid 10L</t>
  </si>
  <si>
    <t>BREEZE EMULSION Paradise Water 10L</t>
  </si>
  <si>
    <t>BREEZE EMULSION Boat Race 10L</t>
  </si>
  <si>
    <t>BE 1</t>
  </si>
  <si>
    <t>BE 2</t>
  </si>
  <si>
    <t>BE 3</t>
  </si>
  <si>
    <t>BE 4</t>
  </si>
  <si>
    <t>BE 5</t>
  </si>
  <si>
    <t>BE 6</t>
  </si>
  <si>
    <t>BE 7</t>
  </si>
  <si>
    <t>BE 8</t>
  </si>
  <si>
    <t>BE 9</t>
  </si>
  <si>
    <t>BE 10</t>
  </si>
  <si>
    <t>BE 11</t>
  </si>
  <si>
    <t>BE 12</t>
  </si>
  <si>
    <t>BE 13</t>
  </si>
  <si>
    <t>BE 14</t>
  </si>
  <si>
    <t>BREEZE එමල්ශන් 1L</t>
  </si>
  <si>
    <t>BREEZE එමල්ශන් 4L</t>
  </si>
  <si>
    <t>BREEZE එමල්ශන් 10L</t>
  </si>
  <si>
    <t>BREEZE WEATHERPROTECT Apple White  1L</t>
  </si>
  <si>
    <t>BREEZE WEATHERPROTECT Green Tea  1L</t>
  </si>
  <si>
    <t>BREEZE WEATHERPROTECT Kenya Leaves  1L</t>
  </si>
  <si>
    <t>BREEZE WEATHERPROTECT Spruce  1L</t>
  </si>
  <si>
    <t>BREEZE WEATHERPROTECT Dove White  1L</t>
  </si>
  <si>
    <t>BREEZE WEATHERPROTECT Lily White  1L</t>
  </si>
  <si>
    <t>BREEZE WEATHERPROTECT Orchid White  1L</t>
  </si>
  <si>
    <t>BREEZE WEATHERPROTECT Butter Milk  1L</t>
  </si>
  <si>
    <t>BREEZE WEATHERPROTECT Sand Stone  1L</t>
  </si>
  <si>
    <t>BREEZE WEATHERPROTECT Cameo  1L</t>
  </si>
  <si>
    <t>BREEZE WEATHERPROTECT Bambo  1L</t>
  </si>
  <si>
    <t>BREEZE WEATHERPROTECT Coffee  1L</t>
  </si>
  <si>
    <t>BREEZE WEATHERPROTECT Noble Grey  1L</t>
  </si>
  <si>
    <t>BREEZE WEATHERPROTECT Smoke Grey  1L</t>
  </si>
  <si>
    <t>BREEZE WEATHERPROTECT Cool Blue  1L</t>
  </si>
  <si>
    <t>BREEZE WEATHERPROTECT Sea Blue  1L</t>
  </si>
  <si>
    <t>BREEZE WEATHERPROTECT Tile Red  1L</t>
  </si>
  <si>
    <t>BREEZE WEATHERPROTECT Heritage Red  1L</t>
  </si>
  <si>
    <t>BREEZE WEATHERPROTECT Apple White   4L</t>
  </si>
  <si>
    <t>BREEZE WEATHERPROTECT Green Tea   4L</t>
  </si>
  <si>
    <t>BREEZE WEATHERPROTECT Kenya Leaves   4L</t>
  </si>
  <si>
    <t>BREEZE WEATHERPROTECT Spruce   4L</t>
  </si>
  <si>
    <t>BREEZE WEATHERPROTECT Dove White   4L</t>
  </si>
  <si>
    <t>BREEZE WEATHERPROTECT Lily White   4L</t>
  </si>
  <si>
    <t>BREEZE WEATHERPROTECT Orchid White   4L</t>
  </si>
  <si>
    <t>BREEZE WEATHERPROTECT Butter Milk   4L</t>
  </si>
  <si>
    <t>BREEZE WEATHERPROTECT Sand Stone   4L</t>
  </si>
  <si>
    <t>BREEZE WEATHERPROTECT Cameo   4L</t>
  </si>
  <si>
    <t>BREEZE WEATHERPROTECT Bambo   4L</t>
  </si>
  <si>
    <t>BREEZE WEATHERPROTECT Coffee   4L</t>
  </si>
  <si>
    <t>BREEZE WEATHERPROTECT Noble Grey   4L</t>
  </si>
  <si>
    <t>BREEZE WEATHERPROTECT Smoke Grey   4L</t>
  </si>
  <si>
    <t>BREEZE WEATHERPROTECT Cool Blue   4L</t>
  </si>
  <si>
    <t>BREEZE WEATHERPROTECT Sea Blue   4L</t>
  </si>
  <si>
    <t>BREEZE WEATHERPROTECT Tile Red   4L</t>
  </si>
  <si>
    <t>BREEZE WEATHERPROTECT Heritage Red   4L</t>
  </si>
  <si>
    <t>BREEZE WEATHERPROTECT Apple White  10L</t>
  </si>
  <si>
    <t>BREEZE WEATHERPROTECT Green Tea  10L</t>
  </si>
  <si>
    <t>BREEZE WEATHERPROTECT Kenya Leaves  10L</t>
  </si>
  <si>
    <t>BREEZE WEATHERPROTECT Spruce  10L</t>
  </si>
  <si>
    <t>BREEZE WEATHERPROTECT Dove White  10L</t>
  </si>
  <si>
    <t>BREEZE WEATHERPROTECT Lily White  10L</t>
  </si>
  <si>
    <t>BREEZE WEATHERPROTECT Orchid White  10L</t>
  </si>
  <si>
    <t>BREEZE WEATHERPROTECT Butter Milk  10L</t>
  </si>
  <si>
    <t>BREEZE WEATHERPROTECT Sand Stone  10L</t>
  </si>
  <si>
    <t>BREEZE WEATHERPROTECT Cameo  10L</t>
  </si>
  <si>
    <t>BREEZE WEATHERPROTECT Bambo  10L</t>
  </si>
  <si>
    <t>BREEZE WEATHERPROTECT Coffee  10L</t>
  </si>
  <si>
    <t>BREEZE WEATHERPROTECT Noble Grey  10L</t>
  </si>
  <si>
    <t>BREEZE WEATHERPROTECT Smoke Grey  10L</t>
  </si>
  <si>
    <t>BREEZE WEATHERPROTECT Cool Blue  10L</t>
  </si>
  <si>
    <t>BREEZE WEATHERPROTECT Sea Blue  10L</t>
  </si>
  <si>
    <t>BREEZE WEATHERPROTECT Tile Red  10L</t>
  </si>
  <si>
    <t>BREEZE WEATHERPROTECT Heritage Red  10L</t>
  </si>
  <si>
    <t>BREEZE WEATHERPROTECT Apple White  20L</t>
  </si>
  <si>
    <t>BREEZE WEATHERPROTECT Green Tea  20L</t>
  </si>
  <si>
    <t>BREEZE WEATHERPROTECT Kenya Leaves  20L</t>
  </si>
  <si>
    <t>BREEZE WEATHERPROTECT Spruce  20L</t>
  </si>
  <si>
    <t>BREEZE WEATHERPROTECT Dove White  20L</t>
  </si>
  <si>
    <t>BREEZE WEATHERPROTECT Lily White  20L</t>
  </si>
  <si>
    <t>BREEZE WEATHERPROTECT Orchid White  20L</t>
  </si>
  <si>
    <t>BREEZE WEATHERPROTECT Butter Milk  20L</t>
  </si>
  <si>
    <t>BREEZE WEATHERPROTECT Sand Stone  20L</t>
  </si>
  <si>
    <t>BREEZE WEATHERPROTECT Cameo  20L</t>
  </si>
  <si>
    <t>BREEZE WEATHERPROTECT Bambo  20L</t>
  </si>
  <si>
    <t>BREEZE WEATHERPROTECT Coffee  20L</t>
  </si>
  <si>
    <t>BREEZE WEATHERPROTECT Noble Grey  20L</t>
  </si>
  <si>
    <t>BREEZE WEATHERPROTECT Smoke Grey  20L</t>
  </si>
  <si>
    <t>BREEZE WEATHERPROTECT Cool Blue  20L</t>
  </si>
  <si>
    <t>BREEZE WEATHERPROTECT Sea Blue  20L</t>
  </si>
  <si>
    <t>BREEZE WEATHERPROTECT Tile Red  20L</t>
  </si>
  <si>
    <t>BREEZE WEATHERPROTECT Heritage Red  20L</t>
  </si>
  <si>
    <t>BW 1</t>
  </si>
  <si>
    <t>BW 2</t>
  </si>
  <si>
    <t>BW 3</t>
  </si>
  <si>
    <t>BW 4</t>
  </si>
  <si>
    <t>BW 5</t>
  </si>
  <si>
    <t>BW 6</t>
  </si>
  <si>
    <t>BW 7</t>
  </si>
  <si>
    <t>BW 8</t>
  </si>
  <si>
    <t>BW 9</t>
  </si>
  <si>
    <t>BW 10</t>
  </si>
  <si>
    <t>BW 11</t>
  </si>
  <si>
    <t>BW 12</t>
  </si>
  <si>
    <t>BW 13</t>
  </si>
  <si>
    <t>BW 14</t>
  </si>
  <si>
    <t>BW 15</t>
  </si>
  <si>
    <t>BW 16</t>
  </si>
  <si>
    <t>BW 17</t>
  </si>
  <si>
    <t>BW 18</t>
  </si>
  <si>
    <t>BREEZE වෙදසීල් 1L</t>
  </si>
  <si>
    <t>BREEZE වෙදසීල් 4L</t>
  </si>
  <si>
    <t>BREEZE වෙදසීල් 10L</t>
  </si>
  <si>
    <t>BREEZE වෙදසීල් 20L</t>
  </si>
  <si>
    <t>NEW</t>
  </si>
  <si>
    <t>එමල්ශන් සුදු</t>
  </si>
  <si>
    <t>වෙදර්සීල්  සුදු</t>
  </si>
  <si>
    <t>S-lon   සුදු වෙදර්සීල් 4L</t>
  </si>
  <si>
    <t>S-lon   සුදු වෙදර්සීල් 10L</t>
  </si>
  <si>
    <t>S-lon   සුදු වෙදර්සීල් 20L</t>
  </si>
  <si>
    <t>KW</t>
  </si>
  <si>
    <t>BREEZE පිලර් 1L</t>
  </si>
  <si>
    <t>BREEZE පිලර් 4L</t>
  </si>
  <si>
    <t>BREEZE පිලර් 10L</t>
  </si>
  <si>
    <t>BREEZE පිලර් 20L</t>
  </si>
  <si>
    <t>පිලර් 1L</t>
  </si>
  <si>
    <t>පිලර් 4L</t>
  </si>
  <si>
    <t>පිලර් 10L</t>
  </si>
  <si>
    <t>පිලර් 20L</t>
  </si>
  <si>
    <t xml:space="preserve">පිලර් </t>
  </si>
  <si>
    <t>BP</t>
  </si>
  <si>
    <t>PI</t>
  </si>
  <si>
    <t>SH</t>
  </si>
  <si>
    <t>ශොකට් වර්ග S-lon</t>
  </si>
  <si>
    <t>ශොකට් වර්ග Phoenix</t>
  </si>
  <si>
    <t>ශොකට් වර්ග Anton</t>
  </si>
  <si>
    <t>KANSAI එනමල් සුදු 200ml</t>
  </si>
  <si>
    <t>KANSAI එනමල් කළු 200ml</t>
  </si>
  <si>
    <t>KANSAI එනමල් සුදු 500ml</t>
  </si>
  <si>
    <t>KANSAI එනමල් කළු 500ml</t>
  </si>
  <si>
    <t>KANSAI එනමල් සුදු 1L</t>
  </si>
  <si>
    <t>KANSAI එනමල් කළු 1L</t>
  </si>
  <si>
    <t>kansai</t>
  </si>
  <si>
    <t>කන්සයි s-lon</t>
  </si>
  <si>
    <t>QD PRIMER BLACK 1L</t>
  </si>
  <si>
    <t>QD PRIMER RED 1L</t>
  </si>
  <si>
    <t>QD PRIMER GREY 1L</t>
  </si>
  <si>
    <t>QD PRIMER WHITE 1L</t>
  </si>
  <si>
    <t>QD PRIMER BLACK 500ml</t>
  </si>
  <si>
    <t>QD PRIMER RED 500ml</t>
  </si>
  <si>
    <t>QD PRIMER GREY 500ml</t>
  </si>
  <si>
    <t>QD PRIMER WHITE 500ml</t>
  </si>
  <si>
    <t>QD PRIMER BLACK 200ml</t>
  </si>
  <si>
    <t>QD PRIMER RED 200ml</t>
  </si>
  <si>
    <t>QD PRIMER GREY 200ml</t>
  </si>
  <si>
    <t>QD PRIMER WHITE 200ml</t>
  </si>
  <si>
    <t>QD</t>
  </si>
  <si>
    <t xml:space="preserve">QD නිපොන් </t>
  </si>
  <si>
    <t>KANSAI QD PRIMER BLACK 500ml</t>
  </si>
  <si>
    <t>KANSAI QD PRIMER RED 500ml</t>
  </si>
  <si>
    <t>KANSAI QD PRIMER BLACK 200ml</t>
  </si>
  <si>
    <t>KANSAI QD PRIMER RED 200ml</t>
  </si>
  <si>
    <t xml:space="preserve">කැටලෝ </t>
  </si>
  <si>
    <t>කැටලෝ Nippon 4Kg</t>
  </si>
  <si>
    <t>කැටලෝ Nippon 1.5Kg</t>
  </si>
  <si>
    <t>කැටලෝ Nippon 500g</t>
  </si>
  <si>
    <t>katalo</t>
  </si>
  <si>
    <t>Soft Cut කැටලෝ 250g</t>
  </si>
  <si>
    <t>Soft Cut කැටලෝ 100g</t>
  </si>
  <si>
    <t>VINYL SKIN සුදු 5L</t>
  </si>
  <si>
    <t>VINYL SKIN සුදු 1L</t>
  </si>
  <si>
    <t>VINYL SKIN සුදු 10L</t>
  </si>
  <si>
    <t>VINYL SKIN සුදු 20L</t>
  </si>
  <si>
    <t xml:space="preserve">NIPPON EMULSION </t>
  </si>
  <si>
    <t>නිපොන් ඇක්වා 7 IN 1    1L</t>
  </si>
  <si>
    <t>නිපොන් ඇක්වා 7 IN 1    4L</t>
  </si>
  <si>
    <t>නිපොන් ඇක්වා 7 IN 1   10L</t>
  </si>
  <si>
    <t>නිපොන් ඇක්වා</t>
  </si>
  <si>
    <t>AQUA</t>
  </si>
  <si>
    <t>WATER රූෆින් 5Kg</t>
  </si>
  <si>
    <t>WATER රූෆින් 10Kg</t>
  </si>
  <si>
    <t>WATER රූෆින් 20Kg</t>
  </si>
  <si>
    <t>WATER රූෆින්</t>
  </si>
  <si>
    <t>RUFIN</t>
  </si>
  <si>
    <t>NIPPON රූෆින් පේන්ට් 1L</t>
  </si>
  <si>
    <t>NIPPON රූෆින් පේන්ට් 4L</t>
  </si>
  <si>
    <t>NIPPON රූෆින් පේන්ට් 10L</t>
  </si>
  <si>
    <t>රූෆින් පේන්ට්</t>
  </si>
  <si>
    <t>VS</t>
  </si>
  <si>
    <t>PS</t>
  </si>
  <si>
    <t>LBO</t>
  </si>
  <si>
    <t>TS</t>
  </si>
  <si>
    <t>N CAP</t>
  </si>
  <si>
    <t>RSH</t>
  </si>
  <si>
    <t>RTS</t>
  </si>
  <si>
    <t>25mm x 20mm (3/4"x1/2")  R-ශොකට් ANTON</t>
  </si>
  <si>
    <t>32mm x 20mm (1"x1/2")  R-ශොකට් ANTON</t>
  </si>
  <si>
    <t>32mm x 25mm (1"x3/4")  R-ශොකට් ANTON</t>
  </si>
  <si>
    <t>40mm x 20mm (1 1/4"x1/2")  R-ශොකට් ANTON</t>
  </si>
  <si>
    <t>40mm x 25mm (1 1/4"x3/4")  R-ශොකට් ANTON</t>
  </si>
  <si>
    <t>40mm x 32mm (1 1/4"x1")  R-ශොකට් ANTON</t>
  </si>
  <si>
    <t>50mm x 20mm (1 1/2"x1/2")  R-ශොකට් ANTON</t>
  </si>
  <si>
    <t>50mm x 25mm (1 1/2"x3/4")  R-ශොකට් ANTON</t>
  </si>
  <si>
    <t>50mm x 32mm (1 1/2"x1")  R-ශොකට් ANTON</t>
  </si>
  <si>
    <t>50mm x 40mm (1 1/2"x1 1/4")  R-ශොකට් ANTON</t>
  </si>
  <si>
    <t>63mm x 20mm (2"x1/2")  R-ශොකට් ANTON</t>
  </si>
  <si>
    <t>63mm x 25mm (2"x3/4")  R-ශොකට් ANTON</t>
  </si>
  <si>
    <t>63mm x 32mm (2"x1")  R-ශොකට් ANTON</t>
  </si>
  <si>
    <t>63mm x 40mm (2"x1 1/4")  R-ශොකට් ANTON</t>
  </si>
  <si>
    <t>63mm x 50mm (2"x1 1/2")  R-ශොකට් ANTON</t>
  </si>
  <si>
    <t>75mm x 32mm (2 1/2"x1")  R-ශොකට් ANTON</t>
  </si>
  <si>
    <t>75mm x 40mm (2 1/2"x1 1/4")  R-ශොකට් ANTON</t>
  </si>
  <si>
    <t>75mm x 50mm (2 1/2"x1 1/2")  R-ශොකට් ANTON</t>
  </si>
  <si>
    <t>75mm x 63mm (2 1/2"x2")  R-ශොකට් ANTON</t>
  </si>
  <si>
    <t>90mm x 40mm (3"x1 1/4")  R-ශොකට් ANTON</t>
  </si>
  <si>
    <t>90mm x 50mm (3"x1 1/2")  R-ශොකට් ANTON</t>
  </si>
  <si>
    <t>90mm x 63mm (3"x 2")  R-ශොකට් ANTON</t>
  </si>
  <si>
    <t>90mm x 75mm (3"x2 1/2")  R-ශොකට් ANTON</t>
  </si>
  <si>
    <t>110mm x 50mm (4"x1 1/2")  R-ශොකට් ANTON</t>
  </si>
  <si>
    <t>110mm x 63mm (4"x 2")  R-ශොකට් ANTON</t>
  </si>
  <si>
    <t>110mm x 75mm (4"x2 1/2")  R-ශොකට් ANTON</t>
  </si>
  <si>
    <t>110mm x 90mm (4"x 3")  R-ශොකට් ANTON</t>
  </si>
  <si>
    <t>25mm x 20mm (3/4"x1/2")  R-ටී ANTON</t>
  </si>
  <si>
    <t>32mm x 20mm (1"x1/2")  R-ටී ANTON</t>
  </si>
  <si>
    <t>32mm x 25mm (1"x3/4")  R-ටී ANTON</t>
  </si>
  <si>
    <t>40mm x 20mm (1 1/4"x1/2")  R-ටී ANTON</t>
  </si>
  <si>
    <t>40mm x 25mm (1 1/4"x3/4")  R-ටී ANTON</t>
  </si>
  <si>
    <t>40mm x 32mm (1 1/4"x1")  R-ටී ANTON</t>
  </si>
  <si>
    <t>50mm x 20mm (1 1/2"x1/2")  R-ටී ANTON</t>
  </si>
  <si>
    <t>50mm x 25mm (1 1/2"x3/4")  R-ටී ANTON</t>
  </si>
  <si>
    <t>50mm x 32mm (1 1/2"x1")  R-ටී ANTON</t>
  </si>
  <si>
    <t>50mm x 40mm (1 1/2"x1 1/4")  R-ටී ANTON</t>
  </si>
  <si>
    <t>63mm x 20mm (2"x1/2")  R-ටී ANTON</t>
  </si>
  <si>
    <t>63mm x 25mm (2"x3/4")  R-ටී ANTON</t>
  </si>
  <si>
    <t>63mm x 32mm (2"x1")  R-ටී ANTON</t>
  </si>
  <si>
    <t>63mm x 40mm (2"x1 1/4")  R-ටී ANTON</t>
  </si>
  <si>
    <t>63mm x 50mm (2"x1 1/2")  R-ටී ANTON</t>
  </si>
  <si>
    <t>75mm x 32mm (2 1/2"x1")  R-ටී ANTON</t>
  </si>
  <si>
    <t>75mm x 40mm (2 1/2"x1 1/4")  R-ටී ANTON</t>
  </si>
  <si>
    <t>75mm x 50mm (2 1/2"x1 1/2")  R-ටී ANTON</t>
  </si>
  <si>
    <t>75mm x 63mm (2 1/2"x2")  R-ටී ANTON</t>
  </si>
  <si>
    <t>90mm x 40mm (3"x1 1/4")  R-ටී ANTON</t>
  </si>
  <si>
    <t>90mm x 50mm (3"x1 1/2")  R-ටී ANTON</t>
  </si>
  <si>
    <t>90mm x 63mm (3"x 2")  R-ටී ANTON</t>
  </si>
  <si>
    <t>90mm x 75mm (3"x2 1/2")  R-ටී ANTON</t>
  </si>
  <si>
    <t>110mm x 50mm (4"x1 1/2")  R-ටී ANTON</t>
  </si>
  <si>
    <t>110mm x 63mm (4"x 2")  R-ටී ANTON</t>
  </si>
  <si>
    <t>110mm x 75mm (4"x2 1/2")  R-ටී ANTON</t>
  </si>
  <si>
    <t xml:space="preserve">ඔටෝ පේන්ට් </t>
  </si>
  <si>
    <t>AUTO PAINT</t>
  </si>
  <si>
    <t>ORIGINAL BAJAJ BLACK 1L</t>
  </si>
  <si>
    <t>SILVER 1L</t>
  </si>
  <si>
    <t>MAT JET BLACK 1L</t>
  </si>
  <si>
    <t>BRILLIANT WHITE 1L</t>
  </si>
  <si>
    <t>TOYOYA WHITE 058 1L</t>
  </si>
  <si>
    <t>TOYOYA SUPER WHITE  040 1L</t>
  </si>
  <si>
    <t>TOYOTA WHITE  045 1L</t>
  </si>
  <si>
    <t>ORIGINAL BAJAJ RED 1L</t>
  </si>
  <si>
    <t>BAJAJ NEPTUNE BLUE 1L</t>
  </si>
  <si>
    <t>BRIGHT GOLDEN YELLOW 1L</t>
  </si>
  <si>
    <t>ROCK FIRE RED NEW 1L</t>
  </si>
  <si>
    <t>JET BLACK 1L</t>
  </si>
  <si>
    <t>BAJAJ ECO GREEN 1L</t>
  </si>
  <si>
    <t>KUBOTA RED 1L</t>
  </si>
  <si>
    <t>ORIGINAL BAJAJ BLACK  500ml</t>
  </si>
  <si>
    <t>SILVER  500ml</t>
  </si>
  <si>
    <t>MAT JET BLACK  500ml</t>
  </si>
  <si>
    <t>BRILLIANT WHITE  500ml</t>
  </si>
  <si>
    <t>TOYOYA WHITE 058  500ml</t>
  </si>
  <si>
    <t>TOYOYA SUPER WHITE  040  500ml</t>
  </si>
  <si>
    <t>TOYOTA WHITE  045  500ml</t>
  </si>
  <si>
    <t>ORIGINAL BAJAJ RED  500ml</t>
  </si>
  <si>
    <t>BAJAJ NEPTUNE BLUE  500ml</t>
  </si>
  <si>
    <t>BRIGHT GOLDEN YELLOW  500ml</t>
  </si>
  <si>
    <t>JET BLACK  500ml</t>
  </si>
  <si>
    <t>BAJAJ ECO GREEN  500ml</t>
  </si>
  <si>
    <t>KUBOTA RED  500ml</t>
  </si>
  <si>
    <t>ROBBIALAC  දැව තෙල්  4L</t>
  </si>
  <si>
    <t>ROBBIALAC දැව තෙල්  10L</t>
  </si>
  <si>
    <t xml:space="preserve">දැව තෙල් </t>
  </si>
  <si>
    <t>NC PRIMER</t>
  </si>
  <si>
    <t>OIL PRIMER</t>
  </si>
  <si>
    <t>NC PRIMER   BROWN 1L</t>
  </si>
  <si>
    <t>NC PRIMER   RED 1L</t>
  </si>
  <si>
    <t>NC PRIMER   GREY 1L</t>
  </si>
  <si>
    <t>OIL PRIMER  BROWN 1L</t>
  </si>
  <si>
    <t>OIL PRIMER  RED 1L</t>
  </si>
  <si>
    <t>OIL PRIMER  GREY 1L</t>
  </si>
  <si>
    <t>NC PRIMER   BROWN 500ml</t>
  </si>
  <si>
    <t>NC PRIMER   RED 500ml</t>
  </si>
  <si>
    <t>NC PRIMER   GREY 500ml</t>
  </si>
  <si>
    <t>OIL PRIMER  BROWN 500ml</t>
  </si>
  <si>
    <t>OIL PRIMER  RED 500ml</t>
  </si>
  <si>
    <t>OIL PRIMER  GREY 500ml</t>
  </si>
  <si>
    <t>NC PUTTY GREY 1L</t>
  </si>
  <si>
    <t>NC PUTTY RED 1L</t>
  </si>
  <si>
    <t>NC PUTTY GREY 500ml</t>
  </si>
  <si>
    <t>NC PUTTY RED 500ml</t>
  </si>
  <si>
    <t>NC FILLER GREY 1L</t>
  </si>
  <si>
    <t>NC FILLER RED 1L</t>
  </si>
  <si>
    <t>NC FILLER GREY 500ml</t>
  </si>
  <si>
    <t>NC FILLER RED 500ml</t>
  </si>
  <si>
    <t>PUTTY</t>
  </si>
  <si>
    <t>FILLER</t>
  </si>
  <si>
    <t>නැව් පේන්ට්  NO:01  RED</t>
  </si>
  <si>
    <t>නැව් පේන්ට්  NO:01  GREEN</t>
  </si>
  <si>
    <t>නැව් පේන්ට්  NO:01  BLUE</t>
  </si>
  <si>
    <t>නැව් පේන්ට්  NO:01  BLACK</t>
  </si>
  <si>
    <t>නැව් පේන්ට්  NO:01  GREY</t>
  </si>
  <si>
    <t>නැව් පේන්ට්  NO:01  WHITE</t>
  </si>
  <si>
    <t>නැව් පේන්ට්  NO:01  YELLOW</t>
  </si>
  <si>
    <t>නැව් පේන්ට්</t>
  </si>
  <si>
    <t>නැව් පේන්ට්  NO:02  RED</t>
  </si>
  <si>
    <t>නැව් පේන්ට්  NO:02  GREEN</t>
  </si>
  <si>
    <t>නැව් පේන්ට්  NO:02  BLUE</t>
  </si>
  <si>
    <t>නැව් පේන්ට්  NO:02  BLACK</t>
  </si>
  <si>
    <t>නැව් පේන්ට්  NO:02  GREY</t>
  </si>
  <si>
    <t>නැව් පේන්ට්  NO:02  WHITE</t>
  </si>
  <si>
    <t>නැව් පේන්ට්  NO:02  YELLOW</t>
  </si>
  <si>
    <t>NAW PENT</t>
  </si>
  <si>
    <t>UNDERBODY BLACK</t>
  </si>
  <si>
    <t>HAMMER FINISH GREY</t>
  </si>
  <si>
    <t>HAMMER FINISH GREEN</t>
  </si>
  <si>
    <t>UNDER BODY</t>
  </si>
  <si>
    <t>HAMMER</t>
  </si>
  <si>
    <t>BRIGHT දැව තෙල් 1L</t>
  </si>
  <si>
    <t>BRIGHT දැව තෙල් 4L</t>
  </si>
  <si>
    <t>BRIGHT දැව තෙල් 10L</t>
  </si>
  <si>
    <t>NIPPON දැව තෙල් 1L</t>
  </si>
  <si>
    <t>NIPPON දැව තෙල් 4L</t>
  </si>
  <si>
    <t>NIPPON දැව තෙල් 10L</t>
  </si>
  <si>
    <t>ROBBIALAC  දැව තෙල්  1L</t>
  </si>
  <si>
    <t>DAWATHEL</t>
  </si>
  <si>
    <t xml:space="preserve">NIPPON ස්ටෙයින් මහෝගනී </t>
  </si>
  <si>
    <t>NIPPON ස්ටෙයින් තේක්ක</t>
  </si>
  <si>
    <t>NIPPON ස්ටෙයින් වෝල්නට්</t>
  </si>
  <si>
    <t xml:space="preserve">NIPPON ස්ටෙයින් කොස් </t>
  </si>
  <si>
    <t>NIPPON ස්ටෙයින් RED WOOD</t>
  </si>
  <si>
    <t>NIPPON ස්ටෙයින් NATURAL TEAK</t>
  </si>
  <si>
    <t>NIPPON ස්ටෙයින් ROSEWOOD</t>
  </si>
  <si>
    <t>NIPPON ස්ටෙයින් EBONY</t>
  </si>
  <si>
    <t>NIPPON ස්ටෙයින් DEEP MAHOGANI</t>
  </si>
  <si>
    <t>NIPPON වෝට බේස් NATURAL  04L</t>
  </si>
  <si>
    <t>NIPPON වෝට බේස් Oak Jack  04L</t>
  </si>
  <si>
    <t>NIPPON වෝට බේස් Larch Teak  04L</t>
  </si>
  <si>
    <t>NIPPON වෝට බේස් Buruma Teak  04L</t>
  </si>
  <si>
    <t>NIPPON වෝට බේස් American walnut  04L</t>
  </si>
  <si>
    <t>NIPPON වෝට බේස් Chestnut  04L</t>
  </si>
  <si>
    <t>NIPPON වෝට බේස් Natural Walnut  04L</t>
  </si>
  <si>
    <t>NIPPON වෝට බේස් Natural Mahogani  04L</t>
  </si>
  <si>
    <t>NIPPON වෝට බේස් Dark Mahogani  04L</t>
  </si>
  <si>
    <t>NIPPON වෝට බේස් Black  04L</t>
  </si>
  <si>
    <t>NIPPON වෝට බේස් NATURAL  1L</t>
  </si>
  <si>
    <t>NIPPON වෝට බේස් Oak Jack  1L</t>
  </si>
  <si>
    <t>NIPPON වෝට බේස් Larch Teak  1L</t>
  </si>
  <si>
    <t>NIPPON වෝට බේස් Buruma Teak  1L</t>
  </si>
  <si>
    <t>NIPPON වෝට බේස් American walnut  1L</t>
  </si>
  <si>
    <t>NIPPON වෝට බේස් Chestnut  1L</t>
  </si>
  <si>
    <t>NIPPON වෝට බේස් Natural Walnut  1L</t>
  </si>
  <si>
    <t>NIPPON වෝට බේස් Natural Mahogani  1L</t>
  </si>
  <si>
    <t>NIPPON වෝට බේස් Dark Mahogani  1L</t>
  </si>
  <si>
    <t>NIPPON වෝට බේස් Black  1L</t>
  </si>
  <si>
    <t>NIPPON වෝට බේස් NATURAL 500ml</t>
  </si>
  <si>
    <t>NIPPON වෝට බේස් Oak Jack 500ml</t>
  </si>
  <si>
    <t>NIPPON වෝට බේස් Larch Teak 500ml</t>
  </si>
  <si>
    <t>NIPPON වෝට බේස් Buruma Teak 500ml</t>
  </si>
  <si>
    <t>NIPPON වෝට බේස් American walnut 500ml</t>
  </si>
  <si>
    <t>NIPPON වෝට බේස් Chestnut 500ml</t>
  </si>
  <si>
    <t>NIPPON වෝට බේස් Natural Walnut 500ml</t>
  </si>
  <si>
    <t>NIPPON වෝට බේස් Natural Mahogani 500ml</t>
  </si>
  <si>
    <t>NIPPON වෝට බේස් Dark Mahogani 500ml</t>
  </si>
  <si>
    <t>NIPPON වෝට බේස් Black 500ml</t>
  </si>
  <si>
    <t>BAJAJ BLUE 1L</t>
  </si>
  <si>
    <t xml:space="preserve">MULTILAC නැව් පේන්ට්  RED </t>
  </si>
  <si>
    <t xml:space="preserve">MULTILAC නැව් පේන්ට්  GREEN </t>
  </si>
  <si>
    <t xml:space="preserve">MULTILACනැව් පේන්ට්   BLUE </t>
  </si>
  <si>
    <t xml:space="preserve">MULTILACනැව් පේන්ට්   BLACK </t>
  </si>
  <si>
    <t>MULTILACනැව් පේන්ට්   GREY</t>
  </si>
  <si>
    <t xml:space="preserve">MULTILACනැව් පේන්ට්   WHITE </t>
  </si>
  <si>
    <t>MULTILACනැව් පේන්ට්   YELLOW</t>
  </si>
  <si>
    <t>STAIN</t>
  </si>
  <si>
    <t>WATER BASE</t>
  </si>
  <si>
    <t xml:space="preserve"> ස්ටෙයින්</t>
  </si>
  <si>
    <t>වෝට බේස්</t>
  </si>
  <si>
    <t>BAJAJ RED NEW  500ml</t>
  </si>
  <si>
    <t>BAJAJ RED 1L</t>
  </si>
  <si>
    <t>HAMMER FINISH BLACK</t>
  </si>
  <si>
    <t xml:space="preserve">DUBHE උපාංග </t>
  </si>
  <si>
    <t xml:space="preserve">නිපොන්  වෙදර්සීල්  සුදු 10L  </t>
  </si>
  <si>
    <t xml:space="preserve">නිපොන්  වෙදර්සීල්  සුදු 20L  </t>
  </si>
  <si>
    <t>FLOOR</t>
  </si>
  <si>
    <t xml:space="preserve">ෆ්ලෝ පේන්ට් </t>
  </si>
  <si>
    <t>NIPPON FLOOR PAINT RED  1L</t>
  </si>
  <si>
    <t>NIPPON FLOOR PAINT BLACK  1L</t>
  </si>
  <si>
    <t>NIPPON FLOOR PAINT GREY  1L</t>
  </si>
  <si>
    <t>NIPPON FLOOR PAINT GREEN  1L</t>
  </si>
  <si>
    <t>NIPPON FLOOR PAINT BROWN  1L</t>
  </si>
  <si>
    <t>MULTILAC FLOOR PAINT RED  1L</t>
  </si>
  <si>
    <t>JEMAX FLOOR PAINT RED  1L</t>
  </si>
  <si>
    <t>JEMAX FLOOR PAINT BLACK  1L</t>
  </si>
  <si>
    <t xml:space="preserve"> DEPEND FLOOR PAINT RED  1L</t>
  </si>
  <si>
    <t xml:space="preserve"> DEPEND FLOOR PAINT BLACK  1L</t>
  </si>
  <si>
    <t xml:space="preserve"> DEPEND FLOOR PAINT GREEN  1L</t>
  </si>
  <si>
    <t xml:space="preserve"> DEPEND FLOOR PAINT BLUE  1L</t>
  </si>
  <si>
    <t xml:space="preserve"> DEPEND FLOOR PAINT BROWN  1L</t>
  </si>
  <si>
    <t>NIPPON FLOOR PAINT RED  500ml</t>
  </si>
  <si>
    <t>NIPPON FLOOR PAINT BLACK  500ml</t>
  </si>
  <si>
    <t>NIPPON FLOOR PAINT GREY  500ml</t>
  </si>
  <si>
    <t>NIPPON FLOOR PAINT GREEN  500ml</t>
  </si>
  <si>
    <t>NIPPON FLOOR PAINT BROWN  500ml</t>
  </si>
  <si>
    <t>MULTILAC FLOOR PAINT RED  500ml</t>
  </si>
  <si>
    <t>JEMAX FLOOR PAINT RED  500ml</t>
  </si>
  <si>
    <t>JEMAX FLOOR PAINT BLACK  500ml</t>
  </si>
  <si>
    <t xml:space="preserve"> DEPEND FLOOR PAINT RED  500ml</t>
  </si>
  <si>
    <t xml:space="preserve"> DEPEND FLOOR PAINT BLACK  500ml</t>
  </si>
  <si>
    <t xml:space="preserve"> DEPEND FLOOR PAINT GREEN  500ml</t>
  </si>
  <si>
    <t xml:space="preserve"> DEPEND FLOOR PAINT BLUE  500ml</t>
  </si>
  <si>
    <t xml:space="preserve"> DEPEND FLOOR PAINT BROWN  500ml</t>
  </si>
  <si>
    <t>NIPPON FLOOR PAINT RED  4L</t>
  </si>
  <si>
    <t>NIPPON FLOOR PAINT BLACK  4L</t>
  </si>
  <si>
    <t>NIPPON FLOOR PAINT GREY  4L</t>
  </si>
  <si>
    <t>NIPPON FLOOR PAINT GREEN  4L</t>
  </si>
  <si>
    <t>NIPPON FLOOR PAINT BROWN  4L</t>
  </si>
  <si>
    <t>4"  ග්‍රයින්ඩර් (DUBHE)</t>
  </si>
  <si>
    <t>4 1/2"  ග්‍රයින්ඩර් (DUBHE)</t>
  </si>
  <si>
    <t xml:space="preserve">13mm හැමර් ග්‍රිල් (DUBHE) </t>
  </si>
  <si>
    <t>10mm ග්‍රිල්  (DUBHE)</t>
  </si>
  <si>
    <t>7"  පව(ර්)සෝ   (DUBHE)</t>
  </si>
  <si>
    <t xml:space="preserve">රවුටර් මැෂින් </t>
  </si>
  <si>
    <t>රවුටර් මැෂින්    (DUBHE)</t>
  </si>
  <si>
    <t>4 X 4 සෑන්ඩර   (DUBHE)</t>
  </si>
  <si>
    <t>ජිප්සෝ මැෂින්    (DUBHE)</t>
  </si>
  <si>
    <t xml:space="preserve">පොටි මික්සර් </t>
  </si>
  <si>
    <t xml:space="preserve">පොටි මික්සර්   (DUBHE) </t>
  </si>
  <si>
    <t xml:space="preserve">වෙල්ඩින් ප්ලාන්ට් 200w    (DUBHE) </t>
  </si>
  <si>
    <t xml:space="preserve">වෙල්ඩින් ප්ලාන්ට් 250w    (DUBHE) </t>
  </si>
  <si>
    <t xml:space="preserve">හයිපෙෂර් ගන්   (DUBHE)  </t>
  </si>
  <si>
    <t>පෙෂර් මෝටර්</t>
  </si>
  <si>
    <t xml:space="preserve">පෙෂර් මෝටර්   (DUBHE) </t>
  </si>
  <si>
    <t>ග්‍රයින්ඩර්</t>
  </si>
  <si>
    <t>ග්‍රිල්</t>
  </si>
  <si>
    <t xml:space="preserve">පව(ර්)සෝ </t>
  </si>
  <si>
    <t>ජිප්සෝ මැෂින්</t>
  </si>
  <si>
    <t>හයිපෙෂර් ගන්</t>
  </si>
  <si>
    <t>සෑන්ඩර</t>
  </si>
  <si>
    <t>වෙල්ඩින් ප්ලාන්ට්</t>
  </si>
  <si>
    <t xml:space="preserve">10mm  චාජර් ග්‍රිල්  (DUBHE) </t>
  </si>
  <si>
    <t>32mm x 20mm (1"x1/2")   R-ශොකට්  PHOENIX</t>
  </si>
  <si>
    <t xml:space="preserve">1/2" බෙන්ට්  කහ පාට </t>
  </si>
  <si>
    <t xml:space="preserve">3/4" බෙන්ට්  කහ පාට </t>
  </si>
  <si>
    <t xml:space="preserve">1" බෙන්ට්  කහ පාට </t>
  </si>
  <si>
    <t xml:space="preserve">1/2" ශොකට්  කහ පාට </t>
  </si>
  <si>
    <t xml:space="preserve">3/4" ශොකට්  කහ පාට </t>
  </si>
  <si>
    <t xml:space="preserve">1" ශොකට්  කහ පාට </t>
  </si>
  <si>
    <t xml:space="preserve">1/2" T-ශොකට්  කහ පාට </t>
  </si>
  <si>
    <t xml:space="preserve">1" T-ශොකට්  කහ පාට </t>
  </si>
  <si>
    <t xml:space="preserve">3/4" T-ශොකට්  කහ පාට </t>
  </si>
  <si>
    <t>1/2" බෙන්ට්  Polycrome</t>
  </si>
  <si>
    <t xml:space="preserve">3/4" බෙන්ට්  Polycrome </t>
  </si>
  <si>
    <t>1" බෙන්ට්  Polycrome</t>
  </si>
  <si>
    <t xml:space="preserve">1/2" ශොකට්  Polycrome </t>
  </si>
  <si>
    <t xml:space="preserve">3/4" ශොකට්  Polycrome </t>
  </si>
  <si>
    <t xml:space="preserve">1" ශොකට්  Polycrome </t>
  </si>
  <si>
    <t xml:space="preserve">1/2" T-ශොකට්  Polycrome </t>
  </si>
  <si>
    <t xml:space="preserve">3/4" T-ශොකට්  Polycrome </t>
  </si>
  <si>
    <t>1" T-ශොකට්  Polycrome</t>
  </si>
  <si>
    <t>වයරින් බෙනට්</t>
  </si>
  <si>
    <t>වයරින් ශොකට්</t>
  </si>
  <si>
    <t>වයරින්   T</t>
  </si>
  <si>
    <t>BENT</t>
  </si>
  <si>
    <t>SHOCKET</t>
  </si>
  <si>
    <t>T</t>
  </si>
  <si>
    <t xml:space="preserve">1/2" කන්ඩියුට් ක්ලිප් </t>
  </si>
  <si>
    <t xml:space="preserve">3/4" කන්ඩියුට් ක්ලිප් </t>
  </si>
  <si>
    <t xml:space="preserve">1" කන්ඩියුට් ක්ලිප් </t>
  </si>
  <si>
    <t>CLIP</t>
  </si>
  <si>
    <t xml:space="preserve">කන්ඩියුට් ක්ලිප්  </t>
  </si>
  <si>
    <t>අ(ර්)ත් කූරු Polycrome</t>
  </si>
  <si>
    <t>අ(ර්)ත් කූරු</t>
  </si>
  <si>
    <t xml:space="preserve">අ(ර්)ත් කූරු පොඩි </t>
  </si>
  <si>
    <t>ARTH</t>
  </si>
  <si>
    <t>වයරින් ටේප් කැළණි</t>
  </si>
  <si>
    <t>වයරින් ටේප් ORANGE</t>
  </si>
  <si>
    <t xml:space="preserve">වයරින් ටේප් අඩු  </t>
  </si>
  <si>
    <t>TAPE</t>
  </si>
  <si>
    <t>වයරින් ටේප්</t>
  </si>
  <si>
    <t>CG සුදු  හෝල්ඩර Polycrome</t>
  </si>
  <si>
    <t>CG කළු   හෝල්ඩර Polycrome</t>
  </si>
  <si>
    <t>CG සුදු පොට හෝල්ඩර Polycrome</t>
  </si>
  <si>
    <t>ඈන්ගල් හෝල්ඩර  Polycrome</t>
  </si>
  <si>
    <t>බැටන් හෝල්ඩර Polycrome</t>
  </si>
  <si>
    <t>සිවිලිම් රෝස් Polycrome</t>
  </si>
  <si>
    <t>රවුම් බ්ලොක් Polycrome</t>
  </si>
  <si>
    <t>SINGLE සන් බොක්ස් Polycrome</t>
  </si>
  <si>
    <t>DOUBLE සන් බොක්ස් Polycrome</t>
  </si>
  <si>
    <t>THRIBLE සන් බොක්ස් Polycrome</t>
  </si>
  <si>
    <t>4 WAY සන් බොක්ස් Polycrome</t>
  </si>
  <si>
    <t>යුනිවසල් සන් බොක්ස් Polycrome</t>
  </si>
  <si>
    <t xml:space="preserve">SINGLE සන් බොක්ස් පොලිසැක් </t>
  </si>
  <si>
    <t xml:space="preserve">DOUBLE සන් බොක්ස් පොලිසැක් </t>
  </si>
  <si>
    <t xml:space="preserve">SINGLE සන් බොක්ස් මිල අඩු </t>
  </si>
  <si>
    <t>යුනිවසල් සන් බොක්ස් මිල අඩු</t>
  </si>
  <si>
    <t>ජන්සන් බොක්ස් Polycrome</t>
  </si>
  <si>
    <t>ජන්සන් බොක්ස් කළු</t>
  </si>
  <si>
    <t>MCB BOX 2 WAY  (ගිල්වන) Polycrome</t>
  </si>
  <si>
    <t>MCB BOX 4 WAY (ගිල්වන) Polycrome</t>
  </si>
  <si>
    <t>MCB BOX 10 WAY (මතුපිට) Polycrome</t>
  </si>
  <si>
    <t>MCB BOX 12 WAY (මතුපිට) Polycrome</t>
  </si>
  <si>
    <t>MCB BOX 16 WAY (මතුපිට) Polycrome</t>
  </si>
  <si>
    <t>MCB BOX 18 WAY (මතුපිට) Polycrome</t>
  </si>
  <si>
    <t>MCB BOX 8 WAY (ගිල්වන) Polycrome</t>
  </si>
  <si>
    <t>MCB BOX 12 WAY (ගිල්වන ) Polycrome</t>
  </si>
  <si>
    <t>MCB BOX 15 WAY (ගිල්වන ) Polycrome</t>
  </si>
  <si>
    <t>MCB BOX 18 WAY (ගිල්වන ) Polycrome</t>
  </si>
  <si>
    <t>MCB BOX 24 WAY (ගිල්වන) Polycrome</t>
  </si>
  <si>
    <t>MCB BOX 36 WAY (ගිල්වන) Polycrome</t>
  </si>
  <si>
    <t>සන් බොක්ස්</t>
  </si>
  <si>
    <t>හෝල්ඩර</t>
  </si>
  <si>
    <t>MCB BOX</t>
  </si>
  <si>
    <t>SUN BOX</t>
  </si>
  <si>
    <t>HOLDER</t>
  </si>
  <si>
    <t>MCB BOX 2 WAY  (මතුපිට) Polycrome</t>
  </si>
  <si>
    <t>MCB BOX 4 WAY (මතුපිට) Polycrome</t>
  </si>
  <si>
    <t>MCB BOX  Polycrome</t>
  </si>
  <si>
    <t>MCB BOX 10 WAY (ගිල්වන) Orange</t>
  </si>
  <si>
    <t>MCB BOX 18 WAY (ගිල්වන) Orange</t>
  </si>
  <si>
    <t>MCB BOX  Orange</t>
  </si>
  <si>
    <t>MCB BOX 12 WAY (මතුපිට) මිල අඩු</t>
  </si>
  <si>
    <t xml:space="preserve">බේකර් 6A   Wiremen  </t>
  </si>
  <si>
    <t xml:space="preserve">බේකර් 10A   Wiremen  </t>
  </si>
  <si>
    <t xml:space="preserve">බේකර් 16A   Wiremen  </t>
  </si>
  <si>
    <t xml:space="preserve">බේකර් 20A   Wiremen  </t>
  </si>
  <si>
    <t xml:space="preserve">බේකර් 32A   Wiremen  </t>
  </si>
  <si>
    <t xml:space="preserve">බේකර් 20A   Orange  </t>
  </si>
  <si>
    <t xml:space="preserve">ටිප් ස්විච්  Wiremen  </t>
  </si>
  <si>
    <t xml:space="preserve">මේන්  ස්විච්  Wiremen  </t>
  </si>
  <si>
    <t>SWITCH</t>
  </si>
  <si>
    <t>Wiremen</t>
  </si>
  <si>
    <t>හුලං කොකු(කේස්මන් ) box type මෙල්වා</t>
  </si>
  <si>
    <t>කදන් ලොක්(පාස්මන් ) box type මෙල්වා</t>
  </si>
  <si>
    <t>හුලං කොකු(කේස්මන් ) box type ලංකා</t>
  </si>
  <si>
    <t>කදන් ලොක්(පාස්මන් ) box type ලංකා</t>
  </si>
  <si>
    <t xml:space="preserve">(16mm) 5/8" x 4 පිත්තල ඇණ </t>
  </si>
  <si>
    <t xml:space="preserve">(16mm) 5/8" x 5 පිත්තල ඇණ </t>
  </si>
  <si>
    <t xml:space="preserve">(20mm) 3/4" x 5 පිත්තල ඇණ </t>
  </si>
  <si>
    <t xml:space="preserve">(20mm) 3/4" x 6 පිත්තල ඇණ </t>
  </si>
  <si>
    <t xml:space="preserve">(20mm) 3/4" x 7 පිත්තල ඇණ </t>
  </si>
  <si>
    <t xml:space="preserve">(25mm) 1" x 8 පිත්තල ඇණ </t>
  </si>
  <si>
    <t xml:space="preserve">(25mm) 1" x 10 පිත්තල ඇණ </t>
  </si>
  <si>
    <t xml:space="preserve">(40mm) 1 1/2" x 8 පිත්තල ඇණ </t>
  </si>
  <si>
    <t xml:space="preserve">(40mm) 1 1/2" x 10 පිත්තල ඇණ </t>
  </si>
  <si>
    <t xml:space="preserve">(50mm) 2" x 8 පිත්තල ඇණ </t>
  </si>
  <si>
    <t xml:space="preserve">(50mm) 2" x 10 පිත්තල ඇණ </t>
  </si>
  <si>
    <t xml:space="preserve">(60mm) 2 1/2" x 8 පිත්තල ඇණ </t>
  </si>
  <si>
    <t xml:space="preserve">(60mm) 2 1/2" x 10 පිත්තල ඇණ </t>
  </si>
  <si>
    <t xml:space="preserve">(75mm) 3" x 8 පිත්තල ඇණ </t>
  </si>
  <si>
    <t xml:space="preserve">(75mm) 3" x 10 පිත්තල ඇණ </t>
  </si>
  <si>
    <t xml:space="preserve">(16mm) 5/8" x 4 පිත්තල මල්  ඇණ </t>
  </si>
  <si>
    <t xml:space="preserve">(20mm) 3/4" x 6 පිත්තල මල් ඇණ </t>
  </si>
  <si>
    <t xml:space="preserve">(25mm) 1" x 7 පිත්තල මල් ඇණ </t>
  </si>
  <si>
    <t xml:space="preserve">(16mm) 5/8" x 4 සුදු යකඩ පිත්තල මල් ඇණ </t>
  </si>
  <si>
    <t xml:space="preserve">(20mm) 3/4" x 6 සුදු යකඩ පිත්තල මල් ඇණ </t>
  </si>
  <si>
    <t>BRASS NUT</t>
  </si>
  <si>
    <t xml:space="preserve">28 x 1 1/2 AROMA ටියුබ් </t>
  </si>
  <si>
    <t xml:space="preserve">28 x 1 1/2 (48mm)  AROMA ටියුබ් </t>
  </si>
  <si>
    <t>27 x 1 3/8   AROMA ටියුබ්</t>
  </si>
  <si>
    <t>27 x 1 1/4   AROMA ටියුබ්</t>
  </si>
  <si>
    <t>26 x 2.125/1.95/1.75   AROMA ටියුබ්</t>
  </si>
  <si>
    <t>26 x 2.125/1.95/1.75 (48mm)  AROMA ටියුබ්</t>
  </si>
  <si>
    <t>26 x 1 3/8   AROMA ටියුබ්</t>
  </si>
  <si>
    <t>26 x 1 3/8  (48mm)  AROMA ටියුබ්</t>
  </si>
  <si>
    <t>26 x 1 1/2  AROMA ටියුබ්</t>
  </si>
  <si>
    <t>24 x 2.125/1.95/1.75   AROMA ටියුබ්</t>
  </si>
  <si>
    <t>24 x 2.125/1.95/1.75   (48mm)  AROMA ටියුබ්</t>
  </si>
  <si>
    <t>24 x 1.3/8   AROMA ටියුබ්</t>
  </si>
  <si>
    <t>22 x 1.75  AROMA ටියුබ්</t>
  </si>
  <si>
    <t>22 x 1.3/8   AROMA ටියුබ්</t>
  </si>
  <si>
    <t>20 x 2.125/1.95/1.75   AROMA ටියුබ්</t>
  </si>
  <si>
    <t>20 x 2.125   (48mm)   AROMA ටියුබ්</t>
  </si>
  <si>
    <t>18 x 2.125/1.95/1.75   AROMA ටියුබ්</t>
  </si>
  <si>
    <t>16 x 2.125/1.95/1.75   AROMA ටියුබ්</t>
  </si>
  <si>
    <t>14 x 1.3/8   AROMA ටියුබ්</t>
  </si>
  <si>
    <t>14 x 2.125/1.95/1.75   AROMA ටියුබ්</t>
  </si>
  <si>
    <t>12 x 2.125/1.95/1.75   AROMA ටියුබ්</t>
  </si>
  <si>
    <t xml:space="preserve">Standard-Black 28 x 1 1/2 AROMA ටයර් </t>
  </si>
  <si>
    <t>Heavy duty - Yellow Line  28 x 1 1/2 AROMA ටයර්</t>
  </si>
  <si>
    <t>Mountain 29 x 2.10 AROMA ටයර්</t>
  </si>
  <si>
    <t>Mountain 27.5 x 2.10 AROMA ටයර්</t>
  </si>
  <si>
    <t>Mountain - Black 26 x 2.125/1.95/1.75 AROMA ටයර්</t>
  </si>
  <si>
    <t>Mountain-Red Track 26 x 2.125/1.95/1.75 AROMA ටයර්</t>
  </si>
  <si>
    <t>Mountain - Dot 26 x 2.125 AROMA ටයර්</t>
  </si>
  <si>
    <t>Mountain 26 x 2.125 AROMA ටයර්</t>
  </si>
  <si>
    <t>Sport - Black 26 x 1 3/8 AROMA ටයර්</t>
  </si>
  <si>
    <t>Sport - Green Light 26 x 1 3/8 AROMA ටයර්</t>
  </si>
  <si>
    <t>Sport - Heavy duty 26 x 1 3/8 AROMA ටයර්</t>
  </si>
  <si>
    <t>City - Black 26 x 1.1/2 AROMA ටයර්</t>
  </si>
  <si>
    <t>City - Black 27 x 1.3/8 AROMA ටයර්</t>
  </si>
  <si>
    <t>City - Black 24 x 1.3/8 AROMA ටයර්</t>
  </si>
  <si>
    <t>Mountain - Black 24 x 2.125/1.95/1.75 AROMA ටයර්</t>
  </si>
  <si>
    <t>Mountain-Green Track 24 x 2.125/1.95/1.75 AROMA ටයර්</t>
  </si>
  <si>
    <t>Mountain - Black 22 x 1.75 AROMA ටයර්</t>
  </si>
  <si>
    <t>BMX - Black 20 x 2.125 AROMA ටයර්</t>
  </si>
  <si>
    <t>BMX - Black  20 x 2.125/1.95/1.75 AROMA ටයර්</t>
  </si>
  <si>
    <t>BMX - Black 18 x 1.75 AROMA ටයර්</t>
  </si>
  <si>
    <t>BMX - Black 16 x 2.125/1.95/1.75 AROMA ටයර්</t>
  </si>
  <si>
    <t>BMX - Black 16 x 2.125 AROMA ටයර්</t>
  </si>
  <si>
    <t>BMX - Black 14 x 2.125/1.95/1.75 AROMA ටයර්</t>
  </si>
  <si>
    <t>BMX - Black 12 1/2 x 2 1/4 AROMA ටයර්</t>
  </si>
  <si>
    <t xml:space="preserve">හිල්ටි DBL </t>
  </si>
  <si>
    <t xml:space="preserve">හිල්ටි MEN </t>
  </si>
  <si>
    <t>4 X 4 සෑන්ඩර MEN</t>
  </si>
  <si>
    <t>4 X 8 සෑන්ඩර MEN</t>
  </si>
  <si>
    <t>ග්‍රයින්ඩර් 4"     (INGCO)</t>
  </si>
  <si>
    <t>ග්‍රයින්ඩර්  4 1/2"    (INGCO)</t>
  </si>
  <si>
    <t>10mm ග්‍රිල්     (INGCO)</t>
  </si>
  <si>
    <t>13mm හැමර් ග්‍රිල්    (INGCO)</t>
  </si>
  <si>
    <t>හිල්ටි</t>
  </si>
  <si>
    <t>HOT GUN</t>
  </si>
  <si>
    <t>INGCO උපාංග</t>
  </si>
  <si>
    <t>MEN උපාංග</t>
  </si>
  <si>
    <t>HEAT GUN       (INGCO)</t>
  </si>
  <si>
    <t>DBL BRUSH CUTTER</t>
  </si>
  <si>
    <t>LION BRUSH CUTTER</t>
  </si>
  <si>
    <t>හීටර් ජොග්ගු  (ORIN)</t>
  </si>
  <si>
    <t>හීටර් ජොග්ගු  (LOTUS)</t>
  </si>
  <si>
    <t>හීටර් ජොග්ගු  (Kitchen Star)</t>
  </si>
  <si>
    <t>බාකටර් මැෂින් MEN</t>
  </si>
  <si>
    <t>BAR CUTTER</t>
  </si>
  <si>
    <t xml:space="preserve">HIGH PRESSURE WASHER   (DUBHE) </t>
  </si>
  <si>
    <t>කම්පෙෂර්</t>
  </si>
  <si>
    <t>කම්පෙෂර් 24L  MEN</t>
  </si>
  <si>
    <t>BRUSH CUTTER  MEN</t>
  </si>
  <si>
    <t>BRUSH CUTTER</t>
  </si>
  <si>
    <t>WATER රූෆින් 1Kg</t>
  </si>
  <si>
    <t>JEMAX සීලර්  තේක්ක 1L</t>
  </si>
  <si>
    <t xml:space="preserve">JEMAX සීලර්  මහෝගනී 1L  </t>
  </si>
  <si>
    <t>JEMAX සීලර්  තේක්ක 500ml</t>
  </si>
  <si>
    <t xml:space="preserve">JEMAX සීලර්  මහෝගනී 500ml </t>
  </si>
  <si>
    <t>JEMAX වාර්නිස් මහෝගනී  1L</t>
  </si>
  <si>
    <t>JEMAX වාර්නිස් කොස්   1L</t>
  </si>
  <si>
    <t>JEMAX වාර්නිස් තේක්ක  1L</t>
  </si>
  <si>
    <t>JEMAX වාර්නිස් මහෝගනී  500ml</t>
  </si>
  <si>
    <t>JEMAX වාර්නිස් කොස්   500ml</t>
  </si>
  <si>
    <t>JEMAX වාර්නිස් තේක්ක  500ml</t>
  </si>
  <si>
    <t>NIPPON සීලර්  මහෝගනී 200ml</t>
  </si>
  <si>
    <t>NIPPON සීලර්  තේක්ක 200ml</t>
  </si>
  <si>
    <t>NIPPON සීලර්  වෝල්නට් 200ml</t>
  </si>
  <si>
    <t>NIPPON සීලර්  කොස්  200ml</t>
  </si>
  <si>
    <t>NIPPON සීලර්  RED WOOD 200ml</t>
  </si>
  <si>
    <t>NIPPON සීලර්  NATURAL TEAK 200ml</t>
  </si>
  <si>
    <t>NIPPON සීලර්  ROSEWOOD 200ml</t>
  </si>
  <si>
    <t>NIPPON සීලර්  EBONY 200ml</t>
  </si>
  <si>
    <t>NIPPON සීලර්  DEEP MAHOGANI 200ml</t>
  </si>
  <si>
    <t>NIPPON වාර්නිස්  තේක්ක 200ml</t>
  </si>
  <si>
    <t>NIPPON වාර්නිස්  වෝල්නට් 200ml</t>
  </si>
  <si>
    <t>NIPPON වාර්නිස්  කොස්  200ml</t>
  </si>
  <si>
    <t>NIPPON වාර්නිස්  RED WOOD 200ml</t>
  </si>
  <si>
    <t>NIPPON වාර්නිස්  NATURAL TEAK 200ml</t>
  </si>
  <si>
    <t>NIPPON වාර්නිස්  ROSEWOOD 200ml</t>
  </si>
  <si>
    <t>NIPPON වාර්නිස්  EBONY 200ml</t>
  </si>
  <si>
    <t>NIPPON වාර්නිස්  DEEP MAHOGANI 200ml</t>
  </si>
  <si>
    <t>NIPPON සීලර්  මහෝගනී 500ml</t>
  </si>
  <si>
    <t>NIPPON සීලර්  තේක්ක  500ml</t>
  </si>
  <si>
    <t>NIPPON සීලර්  වෝල්නට් 500ml</t>
  </si>
  <si>
    <t>NIPPON සීලර්  කොස් 500ml</t>
  </si>
  <si>
    <t>NIPPON සීලර්  RED WOOD  500ml</t>
  </si>
  <si>
    <t>NIPPON සීලර්  NATURAL TEAK  500ml</t>
  </si>
  <si>
    <t>NIPPON සීලර්  ROSEWOOD  500ml</t>
  </si>
  <si>
    <t>NIPPON සීලර්  EBONY  500ml</t>
  </si>
  <si>
    <t>NIPPON සීලර්  DEEP MAHOGANI  500ml</t>
  </si>
  <si>
    <t>NIPPON සීලර්  මහෝගනී 1L</t>
  </si>
  <si>
    <t>NIPPON සීලර්  තේක්ක  1L</t>
  </si>
  <si>
    <t>NIPPON සීලර්  වෝල්නට්  1L</t>
  </si>
  <si>
    <t>NIPPON සීලර්  කොස්   1L</t>
  </si>
  <si>
    <t>NIPPON සීලර්  RED WOOD  1L</t>
  </si>
  <si>
    <t>NIPPON සීලර්  NATURAL TEAK  1L</t>
  </si>
  <si>
    <t>NIPPON සීලර්  ROSEWOOD  1L</t>
  </si>
  <si>
    <t>NIPPON සීලර්  EBONY  1L</t>
  </si>
  <si>
    <t>NIPPON සීලර්  DEEP MAHOGANI  1L</t>
  </si>
  <si>
    <t>NIPPON සීලර්  මහෝගනී 4L</t>
  </si>
  <si>
    <t>NIPPON සීලර්  තේක්ක  4L</t>
  </si>
  <si>
    <t>NIPPON සීලර්  වෝල්නට්  4L</t>
  </si>
  <si>
    <t>NIPPON සීලර්  කොස්   4L</t>
  </si>
  <si>
    <t>NIPPON සීලර්  NATURAL TEAK  4L</t>
  </si>
  <si>
    <t>NIPPON සීලර්  ROSEWOOD  4L</t>
  </si>
  <si>
    <t>NIPPON සීලර්  EBONY  4L</t>
  </si>
  <si>
    <t>NIPPON සීලර්  DEEP MAHOGANI  4L</t>
  </si>
  <si>
    <t>NIPPON වාර්නිස්  තේක්ක 500ml</t>
  </si>
  <si>
    <t>NIPPON වාර්නිස්  වෝල්නට්  500ml</t>
  </si>
  <si>
    <t>NIPPON වාර්නිස්  කොස්   500ml</t>
  </si>
  <si>
    <t>NIPPON වාර්නිස්  RED WOOD  500ml</t>
  </si>
  <si>
    <t>NIPPON වාර්නිස්  NATURAL TEAK  500ml</t>
  </si>
  <si>
    <t>NIPPON වාර්නිස්  ROSEWOOD  500ml</t>
  </si>
  <si>
    <t>NIPPON වාර්නිස්  EBONY  500ml</t>
  </si>
  <si>
    <t>NIPPON වාර්නිස්  DEEP MAHOGANI  500ml</t>
  </si>
  <si>
    <t>NIPPON වාර්නිස්  තේක්ක  1L</t>
  </si>
  <si>
    <t>NIPPON වාර්නිස්  වෝල්නට්  1L</t>
  </si>
  <si>
    <t>NIPPON වාර්නිස්  කොස්   1L</t>
  </si>
  <si>
    <t>NIPPON වාර්නිස්  RED WOOD  1L</t>
  </si>
  <si>
    <t>NIPPON වාර්නිස්  NATURAL TEAK  1L</t>
  </si>
  <si>
    <t>NIPPON වාර්නිස්  ROSEWOOD  1L</t>
  </si>
  <si>
    <t>NIPPON වාර්නිස්  EBONY  1L</t>
  </si>
  <si>
    <t>NIPPON වාර්නිස්  DEEP MAHOGANI  1L</t>
  </si>
  <si>
    <t>NIPPON වාර්නිස්  තේක්ක  4L</t>
  </si>
  <si>
    <t>NIPPON වාර්නිස්  වෝල්නට්  4L</t>
  </si>
  <si>
    <t>NIPPON වාර්නිස්  කොස්   4L</t>
  </si>
  <si>
    <t>NIPPON වාර්නිස්  RED WOOD  4L</t>
  </si>
  <si>
    <t>NIPPON වාර්නිස්  NATURAL TEAK  4L</t>
  </si>
  <si>
    <t>NIPPON වාර්නිස්  ROSEWOOD  4L</t>
  </si>
  <si>
    <t>NIPPON වාර්නිස්  EBONY  4L</t>
  </si>
  <si>
    <t>NIPPON වාර්නිස්  DEEP MAHOGANI  4L</t>
  </si>
  <si>
    <t>NIPPON වාර්නිස් මහෝගනී 200ml</t>
  </si>
  <si>
    <t>NIPPON වාර්නිස්  මහෝගනී 1L</t>
  </si>
  <si>
    <t>NIPPON වාර්නිස්  මහෝගනී 4L</t>
  </si>
  <si>
    <t>NIPPON වාර්නිස්  මහෝගනී   500ml</t>
  </si>
  <si>
    <t>NIPPON ALLUMINIUM WOOD PRIMER 1L</t>
  </si>
  <si>
    <t>NIPPON ALLUMINIUM WOOD PRIMER 500ml</t>
  </si>
  <si>
    <t>WOOD PRIMER</t>
  </si>
  <si>
    <t>NIPPON WOOD FINISH MATT  1L</t>
  </si>
  <si>
    <t>NIPPON WOOD FINISH MATT  500ml</t>
  </si>
  <si>
    <t>NIPPON GLOSS වාර්නිස්  1L</t>
  </si>
  <si>
    <t>NIPPON GLOSS වාර්නිස්  500ml</t>
  </si>
  <si>
    <t>FLOOR PAINT RED  ( ටිනර් )  1L</t>
  </si>
  <si>
    <t>FLOOR PAINT BLACK  ( ටිනර් )  1L</t>
  </si>
  <si>
    <t>FLOOR PAINT GREY  ( ටිනර් )  1L</t>
  </si>
  <si>
    <t>FLOOR PAINT RED  ( ටිනර් )  500ml</t>
  </si>
  <si>
    <t>FLOOR PAINT BLACK  ( ටිනර් )  500ml</t>
  </si>
  <si>
    <t>FLOOR PAINT GREY  ( ටිනර් )  500ml</t>
  </si>
  <si>
    <t>FLOOR PAINT RED  ( ටිනර් )  200ml</t>
  </si>
  <si>
    <t>FLOOR PAINT GREY  ( ටිනර් )   200ml</t>
  </si>
  <si>
    <t>FLOOR PAINT BLACK  ( ටිනර් )  200ml</t>
  </si>
  <si>
    <t>MULTILAC ලැකර් කළු 100ml</t>
  </si>
  <si>
    <t>MULTILAC ලැකර් සුදු   100ml</t>
  </si>
  <si>
    <t>MULTILAC ලැකර් කහ 100ml</t>
  </si>
  <si>
    <t>MULTILAC ලැකර් නිල්  100ml</t>
  </si>
  <si>
    <t>MULTILAC ලැකර් කොළ  100ml</t>
  </si>
  <si>
    <t>MULTILAC ලැකර් රතු  100ml</t>
  </si>
  <si>
    <t>MULTILAC ලැකර් කළු 50ml</t>
  </si>
  <si>
    <t>MULTILAC ලැකර් සුදු   50ml</t>
  </si>
  <si>
    <t>MULTILAC ලැකර් කහ 50ml</t>
  </si>
  <si>
    <t>MULTILAC ලැකර් නිල්  50ml</t>
  </si>
  <si>
    <t>MULTILAC ලැකර් කොළ  50ml</t>
  </si>
  <si>
    <t>MULTILAC ලැකර් රතු  50ml</t>
  </si>
  <si>
    <t>UNIVERSAL PAINT ලැකර් රතු  50ml</t>
  </si>
  <si>
    <t>UNIVERSAL PAINT ලැකර් රතු  100ml</t>
  </si>
  <si>
    <t>UNIVERSAL PAINT ලැකර් සුදු  50ml</t>
  </si>
  <si>
    <t>NIPPON GOLD PAINT 100ml</t>
  </si>
  <si>
    <t>NIPPON GOLD PAINT 200ml</t>
  </si>
  <si>
    <t>MULTILAC GOLD PAINT 100ml</t>
  </si>
  <si>
    <t>MULTILAC GOLD PAINT 200ml</t>
  </si>
  <si>
    <t>MULTILAC GOLD PAINT 500ml</t>
  </si>
  <si>
    <t>NIPPON GOLD PAINT 500ml</t>
  </si>
  <si>
    <t>DELTEX ලැකර් කහ 100ml</t>
  </si>
  <si>
    <t>NIPPOLAC ලැකර් කහ 100ml</t>
  </si>
  <si>
    <t>COLOUREX ලැකර් දුඹුරු 100ml</t>
  </si>
  <si>
    <t>COLOUREX ලැකර් දුඹුරු 50ml</t>
  </si>
  <si>
    <t>MULTILAC  සීලර්  කළු 200ml</t>
  </si>
  <si>
    <t>MULTILAC  සීලර්  ක්ලියර්  200ml</t>
  </si>
  <si>
    <t>MULTILAC  සීලර් තේක්ක  200ml</t>
  </si>
  <si>
    <t>MULTILAC  සීලර් මහෝගනී  200ml</t>
  </si>
  <si>
    <t>MULTILAC  සීලර් කොස්  200ml</t>
  </si>
  <si>
    <t>MULTILAC  වාර්නිස් තේක්ක  200ml</t>
  </si>
  <si>
    <t>MULTILAC වාර්නිස් මහෝගනී  200ml</t>
  </si>
  <si>
    <t>MULTILAC වාර්නිස් කොස්  200ml</t>
  </si>
  <si>
    <t>MULTILAC වාර්නිස් GLOSS  200ml</t>
  </si>
  <si>
    <t>NIPPON ANTICORROSIVE RED 200ml</t>
  </si>
  <si>
    <t>NIPPON ANTICORROSIVE  RED 500ml</t>
  </si>
  <si>
    <t>NIPPON ANTICORROSIVE  RED 1L</t>
  </si>
  <si>
    <t>NIPPON ANTICORROSIVE BLACK 200ml</t>
  </si>
  <si>
    <t>NIPPON ANTICORROSIVE  BLACK 500ml</t>
  </si>
  <si>
    <t>NIPPON ANTICORROSIVE  BLACK 1L</t>
  </si>
  <si>
    <t>MULTILAC BLACK BOARD PAINT 200ml</t>
  </si>
  <si>
    <t>MULTILAC ALLUMINIUM WOOD PRIMER 200ml</t>
  </si>
  <si>
    <t>EPI FIX ගම් ටියුබ් 100g</t>
  </si>
  <si>
    <t>MAX FIX ගම් ටියුබ් 100g</t>
  </si>
  <si>
    <t>මල්ටිබොන්ඩ්  ගම් ටියුබ් 100g</t>
  </si>
  <si>
    <t>ELEPHANT ගම් ටියුබ් 100g</t>
  </si>
  <si>
    <t>NIPPON ඩබල් ගම් සෙට් 250g</t>
  </si>
  <si>
    <t>NIPPON ඩබල් ගම් සෙට් 500g</t>
  </si>
  <si>
    <t>EPI FIX</t>
  </si>
  <si>
    <t>EPI FIX ඩබල් ගම් සෙට් 250g</t>
  </si>
  <si>
    <t>EPI FIX ඩබල් ගම් සෙට් 500g</t>
  </si>
  <si>
    <t>EPI FIX ඩබල් ගම් සෙට් 1Kg</t>
  </si>
  <si>
    <t>FEVICOL</t>
  </si>
  <si>
    <t>ELEPHANT ඩබල් ගම් සෙට් 250g (Fevicol)</t>
  </si>
  <si>
    <t>ELEPHANT ඩබල් ගම් සෙට් 500g (Fevicol)</t>
  </si>
  <si>
    <t>ELEPHANT ඩබල් ගම් සෙට් 1Kg (Fevicol)</t>
  </si>
  <si>
    <t>nippon gam</t>
  </si>
  <si>
    <t>NIPPON  SUPER TINNER කොළ පාට 4L</t>
  </si>
  <si>
    <t>NIPPON  SUPER TINNER කොළ පාට 2L</t>
  </si>
  <si>
    <t>NIPPON  SUPER TINNER කොළ පාට 1L</t>
  </si>
  <si>
    <t xml:space="preserve">ටිනර් </t>
  </si>
  <si>
    <t>NIPPON ECONOMY TINNER නිල් පාට 4L</t>
  </si>
  <si>
    <t>NIPPON ECONOMY TINNER නිල් පාට 2L</t>
  </si>
  <si>
    <t>NIPPON ECONOMY TINNER නිල් පාට 1L</t>
  </si>
  <si>
    <t>DILAX ටිනර් 750ml</t>
  </si>
  <si>
    <t>DILAX ටිනර් 180ml</t>
  </si>
  <si>
    <t>ETCH PRIMER</t>
  </si>
  <si>
    <t>SIRREXTAR ට(ර්)පන්ටයින් 2L</t>
  </si>
  <si>
    <t>SIRREXTAR ට(ර්)පන්ටයින් 1L</t>
  </si>
  <si>
    <t xml:space="preserve">NIPPON ETCH PRIMER 1L (සෙට්) </t>
  </si>
  <si>
    <t>2K සෙට්</t>
  </si>
  <si>
    <t>2K</t>
  </si>
  <si>
    <t>යකඩ කදන් ලොක් වම</t>
  </si>
  <si>
    <t xml:space="preserve">යකඩ කදන් ලොක් දකුණ </t>
  </si>
  <si>
    <t>යකඩ හුලං කොකු 9"</t>
  </si>
  <si>
    <t xml:space="preserve">යකඩ මුදු </t>
  </si>
  <si>
    <t xml:space="preserve">2 x 2 යකඩ සරනේරු කෑලි 1ක්  </t>
  </si>
  <si>
    <t xml:space="preserve">3 x 2 යකඩ සරනේරු කෑලි 1ක්  </t>
  </si>
  <si>
    <t xml:space="preserve">3x 3 යකඩ සරනේරු කෑලි 1ක්  </t>
  </si>
  <si>
    <t xml:space="preserve">4 x 2 යකඩ සරනේරු කෑලි 1ක්  </t>
  </si>
  <si>
    <t xml:space="preserve">4 x 2 1/2  යකඩ සරනේරු කෑලි 1ක්  </t>
  </si>
  <si>
    <t xml:space="preserve">4 x 3 යකඩ සරනේරු කෑලි 1ක්  </t>
  </si>
  <si>
    <t xml:space="preserve">4 x 4 යකඩ සරනේරු කෑලි 1ක්  </t>
  </si>
  <si>
    <t xml:space="preserve">5 x 3 යකඩ සරනේරු කෑලි 1ක්  </t>
  </si>
  <si>
    <t xml:space="preserve">5 x 4 යකඩ සරනේරු කෑලි 1ක්  </t>
  </si>
  <si>
    <t xml:space="preserve">6 x 4 යකඩ සරනේරු කෑලි 1ක්  </t>
  </si>
  <si>
    <t>වල්ග සරනේරු 4"</t>
  </si>
  <si>
    <t>වල්ග සරනේරු 5"</t>
  </si>
  <si>
    <t>වල්ග සරනේරු 6"</t>
  </si>
  <si>
    <t>වල්ග සරනේරු 8"</t>
  </si>
  <si>
    <t>යකඩ සොයිබ  2"</t>
  </si>
  <si>
    <t>යකඩ සොයිබ  3"</t>
  </si>
  <si>
    <t>යකඩ සොයිබ  4"</t>
  </si>
  <si>
    <t>යකඩ සොයිබ  5"</t>
  </si>
  <si>
    <t>කොන්ඩි පට්ටම් 3"</t>
  </si>
  <si>
    <t>කොන්ඩි පට්ටම් 4"</t>
  </si>
  <si>
    <t>කොන්ඩි පට්ටම් 5"</t>
  </si>
  <si>
    <t>කොන්ඩි පට්ටම් 6"</t>
  </si>
  <si>
    <t>saraneru</t>
  </si>
  <si>
    <t>kondi pattam</t>
  </si>
  <si>
    <t>kopar</t>
  </si>
  <si>
    <t>පිත්තල සරනේරු   111</t>
  </si>
  <si>
    <t>සොයිබ 112</t>
  </si>
  <si>
    <t>පිත්තල ඇණ  113</t>
  </si>
  <si>
    <t>යකඩ සරනේරු  114</t>
  </si>
  <si>
    <t>වයරින් වයර් (නෝමල්)  {1/1.13}  යාර 1</t>
  </si>
  <si>
    <t>අ(ර්)ත් වයර්  (නෝමල්)  7/0.67  යාර 1</t>
  </si>
  <si>
    <t>15A වයර් (ඩබල් )   7/0.53 යාර 1</t>
  </si>
  <si>
    <t>මේන් වයර්    7/1.04  යාර 1</t>
  </si>
  <si>
    <t xml:space="preserve"> ටූ කෝර් වයර්(සුදු )  16/0.2  යාර 1</t>
  </si>
  <si>
    <t>ත්‍රී කෝර් වයර්(සුදු )  16/0.2  යාර 1</t>
  </si>
  <si>
    <t>T/T වයර් යාර 1</t>
  </si>
  <si>
    <t>20A වයර්  7/0.67  යාර 1</t>
  </si>
  <si>
    <t>මේන් වයර් (පොඩි)  7/0.85  යාර 1</t>
  </si>
  <si>
    <t>අ(ර්)ත් වයර් (ලොකු)  7/0.85  යාර 1</t>
  </si>
  <si>
    <t>15A වයර් (තනි පොට)  7/0.53  යාර 1</t>
  </si>
  <si>
    <t>20A වයර් (තනි පොට)  7/0.67  යාර 1</t>
  </si>
  <si>
    <t>මේන් වයර් (තනි පොට)  7/1.04  යාර 1</t>
  </si>
  <si>
    <t>ත්‍රී කෝර් වයර්  (කළු)  30/0.25  යාර 1</t>
  </si>
  <si>
    <t>CCTV වයර් යාර 1</t>
  </si>
  <si>
    <t>.</t>
  </si>
  <si>
    <t>කැළණි වයරින් වයර් Fire Shield</t>
  </si>
  <si>
    <t xml:space="preserve">කැළණි වයරින් වයර් </t>
  </si>
  <si>
    <t>කැළණි අ(ර්)ත් වයර්</t>
  </si>
  <si>
    <t>කැළණි 15A වයර්</t>
  </si>
  <si>
    <t>කැළණි 15A වයර් තනි පොට</t>
  </si>
  <si>
    <t>ORANGE 20A සිංගල්  වයර්</t>
  </si>
  <si>
    <t>ORANGE වයරින් වයර් [1/1.113mm]</t>
  </si>
  <si>
    <t>ORANGE අ(ර්)ත් වයර් [7/0.67mm]</t>
  </si>
  <si>
    <t>ORANGE 20A මේන් වයර් [7/0.85mm]</t>
  </si>
  <si>
    <t>ORANGE 15A වයර් තනි පොට [7/0.53mm]</t>
  </si>
  <si>
    <t>ORANGE 20A ඩබල්  වයර් [7/0.67mm]</t>
  </si>
  <si>
    <t>කැළණි T/T වයර් [16/20]</t>
  </si>
  <si>
    <t>ORANGE  T/T වයර් [16/20]</t>
  </si>
  <si>
    <t>සියෙරා වයරින් වයර් Fire Protect</t>
  </si>
  <si>
    <t>සියෙරා  T/T වයර් [16/20]</t>
  </si>
  <si>
    <t>සියෙරා 15A වයර් තනි පොට [7/0.53mm]</t>
  </si>
  <si>
    <t>සියෙරා අ(ර්)ත් වයර් [7/0.67mm]</t>
  </si>
  <si>
    <t>සියෙරා 15A වයර් [7/0.53mm]</t>
  </si>
  <si>
    <t>සියෙරා 20A මේන් වයර් [7/0.85mm]</t>
  </si>
  <si>
    <t>සියෙරා 20A ඩබල්  වයර් [7/0.67mm]</t>
  </si>
  <si>
    <t>සියෙරා 20A සිංගල්  වයර්</t>
  </si>
  <si>
    <t>Kelani</t>
  </si>
  <si>
    <t xml:space="preserve">Orange </t>
  </si>
  <si>
    <t>Sierra</t>
  </si>
  <si>
    <t>SR වයරින් වයර් [1/1.113mm]</t>
  </si>
  <si>
    <t>SR</t>
  </si>
  <si>
    <t>ORANGE 15A වයර් ඩබල්  [7/0.53mm]</t>
  </si>
  <si>
    <t>SR T/T වයර් [12/0.20mm]</t>
  </si>
  <si>
    <t>QD PRIMER BLACK 4L</t>
  </si>
  <si>
    <t>QD PRIMER RED 4L</t>
  </si>
  <si>
    <t>QD PRIMER GREY 4L</t>
  </si>
  <si>
    <t>QD PRIMER WHITE 4L</t>
  </si>
  <si>
    <t>K BRUSH</t>
  </si>
  <si>
    <t>4" කම්බි බ්‍රෂ් MEN (ග්‍රයින්ඩර්)</t>
  </si>
  <si>
    <t>4 1/2" කම්බි බ්‍රෂ්  (ග්‍රයින්ඩර්)</t>
  </si>
  <si>
    <t>4" කම්බි බ්‍රෂ් ABC (ග්‍රයින්ඩර්)</t>
  </si>
  <si>
    <t>4" පිත්තල  බ්‍රෂ් (ග්‍රයින්ඩර්)</t>
  </si>
  <si>
    <t>4 1/2" පිත්තල බ්‍රෂ්  (ග්‍රයින්ඩර්)</t>
  </si>
  <si>
    <t>කම්බි බ්‍රෂ් ABC</t>
  </si>
  <si>
    <t xml:space="preserve">කම්බි බ්‍රෂ් ලී මිට </t>
  </si>
  <si>
    <t xml:space="preserve">කම්බි බ්‍රෂ් කළු මිට </t>
  </si>
  <si>
    <t>පුටු වැල්</t>
  </si>
  <si>
    <t xml:space="preserve">808 ලොක් </t>
  </si>
  <si>
    <t xml:space="preserve">808 Bird ලොක් </t>
  </si>
  <si>
    <t>අල්මාරි ලොක් නිකල් (කට දිග)</t>
  </si>
  <si>
    <t>අල්මාරි ලොක් නිකල් (කට කොට )</t>
  </si>
  <si>
    <t>sunflower අල්මාරි ලොක්</t>
  </si>
  <si>
    <t>vision අල්මාරි ලොක්</t>
  </si>
  <si>
    <t xml:space="preserve">ඇලුමිනියම් කබඩ් ලොක් </t>
  </si>
  <si>
    <t>EASY FIX  කිරි ගම් 100g</t>
  </si>
  <si>
    <t>EASY FIX  කිරි ගම් 250g</t>
  </si>
  <si>
    <t>EASY FIX  කිරි ගම් 500g</t>
  </si>
  <si>
    <t>EASY FIX  කිරි ගම් 1kg</t>
  </si>
  <si>
    <t>EASY FIX  කිරි ගම් 4kg</t>
  </si>
  <si>
    <t>FEVICOL කිරි ගම් 100g</t>
  </si>
  <si>
    <t>FEVICOL කිරි ගම් 250g</t>
  </si>
  <si>
    <t>FEVICOL කිරි ගම් 500g</t>
  </si>
  <si>
    <t>FEVICOL කිරි ගම් 1Kg</t>
  </si>
  <si>
    <t>MULTIBOND කිරි ගම් 2Kg</t>
  </si>
  <si>
    <t>BATHROOM DOOR LOCK</t>
  </si>
  <si>
    <t>BIRD LOCK NO:1</t>
  </si>
  <si>
    <t>BIRD LOCK NO:2</t>
  </si>
  <si>
    <t xml:space="preserve">MORTIST DOOR LOCK </t>
  </si>
  <si>
    <t xml:space="preserve">ඇන්කර් දොර ලොක් </t>
  </si>
  <si>
    <t>EVEREST දොර ලොක්</t>
  </si>
  <si>
    <t>RIDER LOCK</t>
  </si>
  <si>
    <t>ONION දොර ලොක් අඩු</t>
  </si>
  <si>
    <t xml:space="preserve">G.J.S.  දොර ලොක් </t>
  </si>
  <si>
    <t xml:space="preserve">KEVIN දොර ලොක් </t>
  </si>
  <si>
    <t xml:space="preserve">H.K.S.  දොර ලොක් </t>
  </si>
  <si>
    <t xml:space="preserve">පොටි හැඩල් </t>
  </si>
  <si>
    <t xml:space="preserve">පොටි හැඩල් අඩු </t>
  </si>
  <si>
    <t xml:space="preserve">1 1/2  ස්කේපර් </t>
  </si>
  <si>
    <t xml:space="preserve">2  ස්කේපර් </t>
  </si>
  <si>
    <t xml:space="preserve">3  ස්කේපර් </t>
  </si>
  <si>
    <t xml:space="preserve">4  ස්කේපර් </t>
  </si>
  <si>
    <t xml:space="preserve">5  ස්කේපර් </t>
  </si>
  <si>
    <t xml:space="preserve">6  ස්කේපර් </t>
  </si>
  <si>
    <t xml:space="preserve">8  ස්කේපර් පතුරු </t>
  </si>
  <si>
    <t>ස්කේපර් පතුරු සෙට්</t>
  </si>
  <si>
    <t xml:space="preserve">කටු හැදි </t>
  </si>
  <si>
    <t xml:space="preserve">වැලි කොළ අලවන හැඩල් </t>
  </si>
  <si>
    <t xml:space="preserve">6  මේසන් හැදි </t>
  </si>
  <si>
    <t xml:space="preserve">7  මේසන් හැදි </t>
  </si>
  <si>
    <t xml:space="preserve">8  මේසන් හැදි </t>
  </si>
  <si>
    <t xml:space="preserve">9  මේසන් හැදි </t>
  </si>
  <si>
    <t xml:space="preserve">10  මේසන් හැදි </t>
  </si>
  <si>
    <t>8  මේසන් හැදි TOLSEN</t>
  </si>
  <si>
    <t>8  මේසන් හැදි PLM</t>
  </si>
  <si>
    <t>හැඩල් NO:1</t>
  </si>
  <si>
    <t>හැඩල් NO:2</t>
  </si>
  <si>
    <t xml:space="preserve">750g අඩු මිටි ඇමෙරිකන් </t>
  </si>
  <si>
    <t xml:space="preserve">750g අඩු මිටි ලී මිට   </t>
  </si>
  <si>
    <t xml:space="preserve">බෝල මිටි  </t>
  </si>
  <si>
    <t xml:space="preserve">2LB මිටි  </t>
  </si>
  <si>
    <t xml:space="preserve">4LB  කුළුගෙඩි  </t>
  </si>
  <si>
    <t xml:space="preserve">6LB  කුළුගෙඩි  </t>
  </si>
  <si>
    <t xml:space="preserve">8LB  කුළුගෙඩි  </t>
  </si>
  <si>
    <t xml:space="preserve">10LB  කුළුගෙඩි  </t>
  </si>
  <si>
    <t xml:space="preserve">12LB  කුළුගෙඩි  </t>
  </si>
  <si>
    <t xml:space="preserve">14LB  කුළුගෙඩි   </t>
  </si>
  <si>
    <t xml:space="preserve">500g අඩු මිටි ලී මිට   </t>
  </si>
  <si>
    <t>රබර් මිටි  ABC</t>
  </si>
  <si>
    <t xml:space="preserve">ක්ලෝරීන් පැකට් </t>
  </si>
  <si>
    <r>
      <rPr>
        <b/>
        <sz val="10"/>
        <color theme="1"/>
        <rFont val="Calibri"/>
        <family val="2"/>
        <scheme val="minor"/>
      </rPr>
      <t xml:space="preserve">බිචින් පැකට්  </t>
    </r>
    <r>
      <rPr>
        <b/>
        <sz val="9"/>
        <color theme="1"/>
        <rFont val="Calibri"/>
        <family val="2"/>
        <scheme val="minor"/>
      </rPr>
      <t xml:space="preserve"> </t>
    </r>
  </si>
  <si>
    <t xml:space="preserve">කෝස්ටික් සෝඩා පැකට් </t>
  </si>
  <si>
    <t xml:space="preserve">2LB කුළුගෙඩි    </t>
  </si>
  <si>
    <t xml:space="preserve">3LB කුළුගෙඩි    </t>
  </si>
  <si>
    <t>ක්ලෝරීන් 100g</t>
  </si>
  <si>
    <t>නිල් කුඩු පැකට්</t>
  </si>
  <si>
    <t xml:space="preserve">සුදු සිමින්ති </t>
  </si>
  <si>
    <t xml:space="preserve">ප්ලාස්ට පැරිස් </t>
  </si>
  <si>
    <t xml:space="preserve">පැඩ්ලෝ  </t>
  </si>
  <si>
    <t xml:space="preserve">හාපික් </t>
  </si>
  <si>
    <t xml:space="preserve">හාපික් පොඩි </t>
  </si>
  <si>
    <t>BIO CLEAN TILE CLEANER</t>
  </si>
  <si>
    <t>ක්ලෝරීන් බෝතල් (1kg)</t>
  </si>
  <si>
    <t xml:space="preserve">කූබි දියර  </t>
  </si>
  <si>
    <t xml:space="preserve">මැසි දියර  </t>
  </si>
  <si>
    <t>හාපික් bathroom clean</t>
  </si>
  <si>
    <t>BIO CLEAN TOILET CLEANER</t>
  </si>
  <si>
    <t>dash TILE CLEANER 500ml</t>
  </si>
  <si>
    <t>dash GLASS CLEANER 500ml</t>
  </si>
  <si>
    <t>dash ලයිසොල් 500ml</t>
  </si>
  <si>
    <t xml:space="preserve">dash Air Presher </t>
  </si>
  <si>
    <t>dash Acid Cleaner 500ml</t>
  </si>
  <si>
    <t>dash Pine Top 1L</t>
  </si>
  <si>
    <t xml:space="preserve">dash Three Weel Shampo </t>
  </si>
  <si>
    <t>dash Tyre Cleaner 200ml</t>
  </si>
  <si>
    <t>dash Shine 200ml</t>
  </si>
  <si>
    <t>dash Look 500ml</t>
  </si>
  <si>
    <t>ලයිසොල් 200ml</t>
  </si>
  <si>
    <t xml:space="preserve">brirol Air Presher </t>
  </si>
  <si>
    <t>britol Glass Cleaner 300ml</t>
  </si>
  <si>
    <t>britol Clorex 250ml</t>
  </si>
  <si>
    <t>britol Clorex 100ml</t>
  </si>
  <si>
    <t>britol Cleaner 500ml</t>
  </si>
  <si>
    <t>Super Clean 500ml</t>
  </si>
  <si>
    <t>Sun Flower Car Wash 500ml</t>
  </si>
  <si>
    <t>Sola Car Wash 500ml</t>
  </si>
  <si>
    <t>Furniture Clean 500ml</t>
  </si>
  <si>
    <t>NINJA Spray 300ml</t>
  </si>
  <si>
    <t>HIT Spray 425ml</t>
  </si>
  <si>
    <t xml:space="preserve">MORTIN 250ml </t>
  </si>
  <si>
    <t>BS-40   200ml</t>
  </si>
  <si>
    <t>BS-40   100ml</t>
  </si>
  <si>
    <t>RP 07</t>
  </si>
  <si>
    <t>lacker</t>
  </si>
  <si>
    <t>gold p</t>
  </si>
  <si>
    <t>sealer</t>
  </si>
  <si>
    <t>varnis</t>
  </si>
  <si>
    <t>anticorros</t>
  </si>
  <si>
    <t>black board</t>
  </si>
  <si>
    <t xml:space="preserve">putu </t>
  </si>
  <si>
    <t xml:space="preserve">lock </t>
  </si>
  <si>
    <t>gum</t>
  </si>
  <si>
    <t>කම්බි බ්‍රෂ්   116</t>
  </si>
  <si>
    <t>අල්මාරි ලොක්   117</t>
  </si>
  <si>
    <t>කිරි ගම්    118</t>
  </si>
  <si>
    <t>handle</t>
  </si>
  <si>
    <t>skepr</t>
  </si>
  <si>
    <t xml:space="preserve">mesan </t>
  </si>
  <si>
    <t>miti</t>
  </si>
  <si>
    <t>ස්කේපර් / මේසන් හැදි  119</t>
  </si>
  <si>
    <t>අඩු මිටි   120</t>
  </si>
  <si>
    <t>clorin</t>
  </si>
  <si>
    <t>hapic</t>
  </si>
  <si>
    <t>bio</t>
  </si>
  <si>
    <t>dash</t>
  </si>
  <si>
    <t>brirol</t>
  </si>
  <si>
    <t>britol</t>
  </si>
  <si>
    <t>ants</t>
  </si>
  <si>
    <t>super</t>
  </si>
  <si>
    <t>sun</t>
  </si>
  <si>
    <t>sola</t>
  </si>
  <si>
    <t>furniture</t>
  </si>
  <si>
    <t>ninja</t>
  </si>
  <si>
    <t>hit</t>
  </si>
  <si>
    <t>bs</t>
  </si>
  <si>
    <t>laisol</t>
  </si>
  <si>
    <t>rp</t>
  </si>
  <si>
    <t>sudu</t>
  </si>
  <si>
    <t>pad low</t>
  </si>
  <si>
    <t>plat</t>
  </si>
  <si>
    <t>කෙමිකල් වර්ග  121</t>
  </si>
  <si>
    <t>NIPPOLAC BLACK BOARD PAINT 200ml</t>
  </si>
  <si>
    <t>NIPPOLAC BLACK BOARD PAINT 500ml</t>
  </si>
  <si>
    <t>NIPPON WOOD FINISH MATT  4L</t>
  </si>
  <si>
    <t>NIPPON GLOSS වාර්නිස්  4L</t>
  </si>
  <si>
    <t>NIPPON සීලර්  CLEAR  4L</t>
  </si>
  <si>
    <t>ලැකර්  පොඩි   122</t>
  </si>
  <si>
    <t>GOLD PAINT  123</t>
  </si>
  <si>
    <t>MULTILAC  සීලර්/වාර්නිස් 124</t>
  </si>
  <si>
    <t>ඇන්ටිකොරෝසු 125</t>
  </si>
  <si>
    <t>ඩබල් ගම්  126</t>
  </si>
  <si>
    <t>ලොක් බෙර</t>
  </si>
  <si>
    <t>ලොක් බෙර  U.T.C</t>
  </si>
  <si>
    <t xml:space="preserve">තණකොළ තල කොළ පාට  </t>
  </si>
  <si>
    <t>තණකොළ තල  12"  HONDA</t>
  </si>
  <si>
    <t>තණකොළ තල  14"  HONDA</t>
  </si>
  <si>
    <t>තණකොළ තල  12"  EVEREST</t>
  </si>
  <si>
    <t>තණකොළ තල  14"  EVEREST</t>
  </si>
  <si>
    <t xml:space="preserve"> </t>
  </si>
  <si>
    <t xml:space="preserve">කටු කම්බි 20Kg කොළ පාට </t>
  </si>
  <si>
    <t xml:space="preserve">4" ග්‍රයින්ඩර් යතුරු </t>
  </si>
  <si>
    <t xml:space="preserve">4 1/2" ග්‍රයින්ඩර් යතුරු </t>
  </si>
  <si>
    <t xml:space="preserve">4" ග්‍රයින්ඩර් නට් </t>
  </si>
  <si>
    <t xml:space="preserve">4 1/2" ග්‍රයින්ඩර් නට් </t>
  </si>
  <si>
    <t>ග්‍රිල් බිට් යතුරු 8mm</t>
  </si>
  <si>
    <t>ග්‍රිල් බිට් යතුරු 10mm</t>
  </si>
  <si>
    <t xml:space="preserve">ටයිල් කටර් රේසර් කූරු </t>
  </si>
  <si>
    <t>ග්‍රිල් බිට් (+/-)</t>
  </si>
  <si>
    <t>ග්‍රිල් බිට් (+/-) NO-1</t>
  </si>
  <si>
    <t>75G ස්ප්‍රේ ගන් MEN</t>
  </si>
  <si>
    <t>75G ස්ප්‍රේ ගන් EHPL</t>
  </si>
  <si>
    <t>75G ස්ප්‍රේ ගන් NOISE</t>
  </si>
  <si>
    <t>රිවට් ගන් TOLSEN</t>
  </si>
  <si>
    <t xml:space="preserve">රිවට් ගන් කොළ පාට </t>
  </si>
  <si>
    <t xml:space="preserve">අමනෝ කතුරු </t>
  </si>
  <si>
    <t>මල් කතුරු NO-1</t>
  </si>
  <si>
    <t>අමනෝ කතුරු TOLSEN</t>
  </si>
  <si>
    <t>වයර් කටර් (WISEP)</t>
  </si>
  <si>
    <t>බයින්ඩින් හැගර්</t>
  </si>
  <si>
    <t>GRAINDAR</t>
  </si>
  <si>
    <t>GRIL</t>
  </si>
  <si>
    <t>T.CUTTER</t>
  </si>
  <si>
    <t>SPRAY</t>
  </si>
  <si>
    <t>RIVAT</t>
  </si>
  <si>
    <t>DSI TYRE</t>
  </si>
  <si>
    <r>
      <t xml:space="preserve">MTB &amp; CROSS FULL BLACK 29 X 2.10  </t>
    </r>
    <r>
      <rPr>
        <b/>
        <i/>
        <sz val="8"/>
        <color theme="1"/>
        <rFont val="Calibri"/>
        <family val="2"/>
        <scheme val="minor"/>
      </rPr>
      <t>DSI ටයර්</t>
    </r>
    <r>
      <rPr>
        <b/>
        <sz val="8"/>
        <color theme="1"/>
        <rFont val="Calibri"/>
        <family val="2"/>
        <scheme val="minor"/>
      </rPr>
      <t xml:space="preserve"> </t>
    </r>
  </si>
  <si>
    <r>
      <t xml:space="preserve">B.M.X  12.5 X 1.75 X 2 1/4  </t>
    </r>
    <r>
      <rPr>
        <b/>
        <i/>
        <sz val="8"/>
        <color theme="1"/>
        <rFont val="Calibri"/>
        <family val="2"/>
        <scheme val="minor"/>
      </rPr>
      <t>DSI ටයර්</t>
    </r>
    <r>
      <rPr>
        <b/>
        <sz val="8"/>
        <color theme="1"/>
        <rFont val="Calibri"/>
        <family val="2"/>
        <scheme val="minor"/>
      </rPr>
      <t xml:space="preserve"> </t>
    </r>
  </si>
  <si>
    <r>
      <t xml:space="preserve">B.M.X  14 X 2.125 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</si>
  <si>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 xml:space="preserve">B.M.X   18 X 1.9 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</si>
  <si>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 xml:space="preserve">B.M.X  FULL BLACK  16 X 2.125/1.9/1.75 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</si>
  <si>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 xml:space="preserve">B.M.X GUM WALL 16 X 2.125/1.9/1.75 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</si>
  <si>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 xml:space="preserve">28 X 1 1/2 නෝමල්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</si>
  <si>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 xml:space="preserve">28 X 1 1/2 කහ ඉර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</si>
  <si>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 xml:space="preserve">SPORT 26 X 1 3/8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</si>
  <si>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>SPORT SCHOOL MATE 26 X 1 3/8</t>
    </r>
    <r>
      <rPr>
        <b/>
        <i/>
        <sz val="8"/>
        <color theme="1"/>
        <rFont val="Calibri"/>
        <family val="2"/>
        <scheme val="minor"/>
      </rPr>
      <t xml:space="preserve"> DSI ටයර්</t>
    </r>
  </si>
  <si>
    <r>
      <t xml:space="preserve">RACING GUM WALL 27 X 1 1/4 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</si>
  <si>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>RASING  27 X 1 3/8</t>
    </r>
    <r>
      <rPr>
        <b/>
        <i/>
        <sz val="8"/>
        <color theme="1"/>
        <rFont val="Calibri"/>
        <family val="2"/>
        <scheme val="minor"/>
      </rPr>
      <t xml:space="preserve">  DSI ටයර්</t>
    </r>
  </si>
  <si>
    <r>
      <t xml:space="preserve">MOUNTAIN GUM WALL 26 X 2.125/1.9/1.75 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</si>
  <si>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 xml:space="preserve">MOUNTAIN FULL BLACK  26 X 2.125/1.9/1.75 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</si>
  <si>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 xml:space="preserve">MOUNTAIN GUM WALL 26 X 2.3 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</si>
  <si>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 xml:space="preserve">MOUNTAIN FULL BLACK  26 X 2.3 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</si>
  <si>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 xml:space="preserve">MOUNTAIN SINGLE STRIP 26 X 2.125/1.9/1.75 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</si>
  <si>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 xml:space="preserve">MOUNTAIN DOUBLE STRIP 26 X 2.125/1.9/1.75 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</si>
  <si>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 xml:space="preserve">MOUNTAIN DOUBLE CONNETOR 26 X 2.125/1.9/1.75 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</si>
  <si>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 xml:space="preserve">MOUNTAIN FULL BLACK 27.5 X 2.20 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</si>
  <si>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 xml:space="preserve">SPORT 26 X 1 1/2  </t>
    </r>
    <r>
      <rPr>
        <b/>
        <i/>
        <sz val="8"/>
        <color theme="1"/>
        <rFont val="Calibri"/>
        <family val="2"/>
        <scheme val="minor"/>
      </rPr>
      <t xml:space="preserve"> DSI ටයර්</t>
    </r>
  </si>
  <si>
    <r>
      <t xml:space="preserve">MOUNTAIN 24 X 2.125/1.9/1.75 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</si>
  <si>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 xml:space="preserve">SPORT 24 X 1 3/8 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</si>
  <si>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 xml:space="preserve">SPORT 24 X 1 1/2 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</si>
  <si>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 xml:space="preserve">B.M.X GUM WALL 20 X 2.125/1.9/1.75 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</si>
  <si>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 xml:space="preserve">B.M.X  FULL BLACK  20 X 2.125/1.9/1.75  </t>
    </r>
    <r>
      <rPr>
        <b/>
        <i/>
        <sz val="8"/>
        <color theme="1"/>
        <rFont val="Calibri"/>
        <family val="2"/>
        <scheme val="minor"/>
      </rPr>
      <t>DSI ටයර්</t>
    </r>
  </si>
  <si>
    <t xml:space="preserve">STANDARD SCHOOL MATE 28 X 1 1/2 </t>
  </si>
  <si>
    <r>
      <t xml:space="preserve">RACING FULL BLACK 27 X 1 1/4  </t>
    </r>
    <r>
      <rPr>
        <b/>
        <i/>
        <sz val="8"/>
        <color theme="1"/>
        <rFont val="Calibri"/>
        <family val="2"/>
        <scheme val="minor"/>
      </rPr>
      <t>DSI ටයර්</t>
    </r>
  </si>
  <si>
    <r>
      <t xml:space="preserve">28 X  1 1/2 STANDARD (JOINTED TUBE)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</si>
  <si>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26 X 1 3/8 SPORT  (JOINTED TUBE)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</si>
  <si>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28 X  1 1/2 STANDARD </t>
    </r>
    <r>
      <rPr>
        <b/>
        <i/>
        <sz val="9"/>
        <color theme="1"/>
        <rFont val="Calibri"/>
        <family val="2"/>
        <scheme val="minor"/>
      </rPr>
      <t xml:space="preserve"> DSI ටියුබ්</t>
    </r>
  </si>
  <si>
    <r>
      <t xml:space="preserve">26 X 1 3/8 SPORT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</si>
  <si>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27 X  1 1/4  RACING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</si>
  <si>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27 X 1 3/8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</si>
  <si>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26 X 1.75/1.9 / 2.125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</si>
  <si>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26 X 2.3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</si>
  <si>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26 X 1 1/2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</si>
  <si>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24 X 1.9/ 2.0/ 2.125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</si>
  <si>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24 X 1 1/2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</si>
  <si>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24 X 1 3/8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</si>
  <si>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22 X 1 3/8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</si>
  <si>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20 X 1.9/ 2.125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</si>
  <si>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18 X 1.75/ 2.0/ 2.125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</si>
  <si>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16 X 1.9/ 2.0/ 2.125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</si>
  <si>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14 X 1.75/ 2.0/ 2.125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</si>
  <si>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14 X 1 3/8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</si>
  <si>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12 X 1 1/2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</si>
  <si>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26 X 1.75/1.9 / 2.125 BPM 67.5mm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</si>
  <si>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29 X 1.90/ 2.35 BAM 48mm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</si>
  <si>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28 X  1 1/2 STANDARD BAM 48mm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</si>
  <si>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26 X 1 3/8 SPORT BAM 48mm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</si>
  <si>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26 X 1.75/1.9 / 2.125 BAM 48mm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</si>
  <si>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24 X 1.75/1.9 / 2.125 BAM 48mm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</si>
  <si>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20 X 1.75/1.9 / 2.125 BAM 48mm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</si>
  <si>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27.5 X 1.7/ 2.20 BAM 40mm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</si>
  <si>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26 X 1.75/1.9 / 2.125 BAM 40mm </t>
    </r>
    <r>
      <rPr>
        <b/>
        <i/>
        <sz val="9"/>
        <color theme="1"/>
        <rFont val="Calibri"/>
        <family val="2"/>
        <scheme val="minor"/>
      </rPr>
      <t xml:space="preserve"> DSI ටියුබ්</t>
    </r>
  </si>
  <si>
    <r>
      <t xml:space="preserve">24 X 1.75/1.9 / 2.125 BAM 40mm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</si>
  <si>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20 X 1.75/1.9 / 2.125 BAM 40mm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</si>
  <si>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700 X 32/ 38 BAM 40mm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</si>
  <si>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700 X 35 NDAC  </t>
    </r>
    <r>
      <rPr>
        <b/>
        <i/>
        <sz val="9"/>
        <color theme="1"/>
        <rFont val="Calibri"/>
        <family val="2"/>
        <scheme val="minor"/>
      </rPr>
      <t>DSI ටියුබ්</t>
    </r>
  </si>
  <si>
    <r>
      <t xml:space="preserve">700 X 19/ 23 BPAC  </t>
    </r>
    <r>
      <rPr>
        <b/>
        <i/>
        <sz val="9"/>
        <color theme="1"/>
        <rFont val="Calibri"/>
        <family val="2"/>
        <scheme val="minor"/>
      </rPr>
      <t>DSI ටියුබ්</t>
    </r>
  </si>
  <si>
    <t>DSI TUBES</t>
  </si>
  <si>
    <t>වැහි පීලි s-lon</t>
  </si>
  <si>
    <t xml:space="preserve">එන් කැප් </t>
  </si>
  <si>
    <t>කොටු පයිප්ප s-lon</t>
  </si>
  <si>
    <t>රවුම් පයිප්ප s-lon</t>
  </si>
  <si>
    <t>ෆෑෂින් s-lon</t>
  </si>
  <si>
    <t>පීලි පෙට්ටි s-lon</t>
  </si>
  <si>
    <t>බ්‍රැකට් (පිටත)  s-lon</t>
  </si>
  <si>
    <t>බ්‍රැකට් (ඇතුලත)  s-lon</t>
  </si>
  <si>
    <t>ජොයින්ට් (පිටත)  s-lon</t>
  </si>
  <si>
    <t>ජොයින්ට් (ඇතුලත)  s-lon</t>
  </si>
  <si>
    <t>රනින් හෙඩ්  s-lon</t>
  </si>
  <si>
    <t>පීලි ජොයින්ට්  s-lon</t>
  </si>
  <si>
    <t>එන් කැප්  s-lon</t>
  </si>
  <si>
    <t>L බෝ  s-lon</t>
  </si>
  <si>
    <t>රවුම් L බෝ   s-lon</t>
  </si>
  <si>
    <t>ඈන්ගල් L බෝ  s-lon</t>
  </si>
  <si>
    <t>ජොයින්ට් (රවුම්/හතරැස්)  s-lon</t>
  </si>
  <si>
    <t>ක්ලිප්  s-lon</t>
  </si>
  <si>
    <t>රවුම් ක්ලිප්  s-lon</t>
  </si>
  <si>
    <t>පීලි පෙට්ටි සම්බන්ධකය  s-lon</t>
  </si>
  <si>
    <t>pili s-lon</t>
  </si>
  <si>
    <t>රනින් හෙඩ්</t>
  </si>
  <si>
    <t xml:space="preserve">වැහි පීලි  අළු පාට </t>
  </si>
  <si>
    <t>pili</t>
  </si>
  <si>
    <t>aroma tube</t>
  </si>
  <si>
    <t>aroma tyre</t>
  </si>
  <si>
    <t xml:space="preserve">5/8 x 5  කළු කොච්චි ඇණ </t>
  </si>
  <si>
    <t xml:space="preserve">3/4 x 6  කළු කොච්චි ඇණ </t>
  </si>
  <si>
    <t xml:space="preserve">3/4 x 7  කළු කොච්චි ඇණ </t>
  </si>
  <si>
    <t xml:space="preserve">3/4 x 8  කළු කොච්චි ඇණ </t>
  </si>
  <si>
    <t xml:space="preserve">1 x 6  කළු කොච්චි ඇණ </t>
  </si>
  <si>
    <t xml:space="preserve">1 x 7  කළු කොච්චි ඇණ </t>
  </si>
  <si>
    <t xml:space="preserve">1 x 8   කළු කොච්චි ඇණ </t>
  </si>
  <si>
    <t xml:space="preserve">1 x 10  කළු කොච්චි ඇණ </t>
  </si>
  <si>
    <t xml:space="preserve">1 1/4 x 7  කළු කොච්චි ඇණ </t>
  </si>
  <si>
    <t xml:space="preserve">1 1/4 x 8  කළු කොච්චි ඇණ </t>
  </si>
  <si>
    <t xml:space="preserve">1 1/4 x 10  කළු කොච්චි ඇණ </t>
  </si>
  <si>
    <t xml:space="preserve">1 1/2 x 6  කළු කොච්චි ඇණ </t>
  </si>
  <si>
    <t xml:space="preserve">1 1/2 x 7  කළු කොච්චි ඇණ </t>
  </si>
  <si>
    <t xml:space="preserve">1 1/2 x 8  කළු කොච්චි ඇණ </t>
  </si>
  <si>
    <t xml:space="preserve">1 1/2 x 10  කළු කොච්චි ඇණ </t>
  </si>
  <si>
    <t xml:space="preserve">2 x 6  කළු කොච්චි ඇණ </t>
  </si>
  <si>
    <t xml:space="preserve">2 x 7  කළු කොච්චි ඇණ </t>
  </si>
  <si>
    <t xml:space="preserve">2 x 8  කළු කොච්චි ඇණ </t>
  </si>
  <si>
    <t xml:space="preserve">2 x 10  කළු කොච්චි ඇණ </t>
  </si>
  <si>
    <t xml:space="preserve">2 1/2 x 6  කළු කොච්චි ඇණ </t>
  </si>
  <si>
    <t xml:space="preserve">2 1/2 x 7  කළු කොච්චි ඇණ </t>
  </si>
  <si>
    <t xml:space="preserve">2 1/2 x 8  කළු කොච්චි ඇණ </t>
  </si>
  <si>
    <t xml:space="preserve">2 1/2 x 10  කළු කොච්චි ඇණ </t>
  </si>
  <si>
    <t xml:space="preserve">3 x 6  කළු කොච්චි ඇණ </t>
  </si>
  <si>
    <t xml:space="preserve">3 x 7  කළු කොච්චි ඇණ </t>
  </si>
  <si>
    <t xml:space="preserve">3 x 8  කළු කොච්චි ඇණ </t>
  </si>
  <si>
    <t xml:space="preserve">3 x 10  කළු කොච්චි ඇණ </t>
  </si>
  <si>
    <t xml:space="preserve">3 1/2 x 6  කළු කොච්චි ඇණ </t>
  </si>
  <si>
    <t xml:space="preserve">3 1/2 x 7  කළු කොච්චි ඇණ </t>
  </si>
  <si>
    <t xml:space="preserve">3 1/2 x 8  කළු කොච්චි ඇණ </t>
  </si>
  <si>
    <t xml:space="preserve">3 1/2 x 10  කළු කොච්චි ඇණ </t>
  </si>
  <si>
    <t xml:space="preserve">5/8 x 5  සුදු  කොච්චි ඇණ </t>
  </si>
  <si>
    <t xml:space="preserve">3/4 x 6  සුදු  කොච්චි ඇණ </t>
  </si>
  <si>
    <t xml:space="preserve">3/4 x 7  සුදු  කොච්චි ඇණ </t>
  </si>
  <si>
    <t xml:space="preserve">3/4 x 8  සුදු  කොච්චි ඇණ </t>
  </si>
  <si>
    <t xml:space="preserve">1 x 6  සුදු  කොච්චි ඇණ </t>
  </si>
  <si>
    <t xml:space="preserve">1 x 7  සුදු  කොච්චි ඇණ </t>
  </si>
  <si>
    <t xml:space="preserve">1 x 8   සුදු  කොච්චි ඇණ </t>
  </si>
  <si>
    <t xml:space="preserve">1 x 10  සුදු  කොච්චි ඇණ </t>
  </si>
  <si>
    <t xml:space="preserve">1 1/4 x 7  සුදු  කොච්චි ඇණ </t>
  </si>
  <si>
    <t xml:space="preserve">1 1/4 x 8  සුදු  කොච්චි ඇණ </t>
  </si>
  <si>
    <t xml:space="preserve">1 1/4 x 10  සුදු  කොච්චි ඇණ </t>
  </si>
  <si>
    <t xml:space="preserve">1 1/2 x 6  සුදු  කොච්චි ඇණ </t>
  </si>
  <si>
    <t xml:space="preserve">1 1/2 x 7  සුදු  කොච්චි ඇණ </t>
  </si>
  <si>
    <t xml:space="preserve">1 1/2 x 8  සුදු  කොච්චි ඇණ </t>
  </si>
  <si>
    <t xml:space="preserve">1 1/2 x 10  සුදු  කොච්චි ඇණ </t>
  </si>
  <si>
    <t xml:space="preserve">2 x 6  සුදු  කොච්චි ඇණ </t>
  </si>
  <si>
    <t xml:space="preserve">2 x 7  සුදු  කොච්චි ඇණ </t>
  </si>
  <si>
    <t xml:space="preserve">2 x 8  සුදු  කොච්චි ඇණ </t>
  </si>
  <si>
    <t xml:space="preserve">2 x 10  සුදු  කොච්චි ඇණ </t>
  </si>
  <si>
    <t xml:space="preserve">2 1/2 x 6  සුදු  කොච්චි ඇණ </t>
  </si>
  <si>
    <t xml:space="preserve">2 1/2 x 7  සුදු  කොච්චි ඇණ </t>
  </si>
  <si>
    <t xml:space="preserve">2 1/2 x 8  සුදු  කොච්චි ඇණ </t>
  </si>
  <si>
    <t xml:space="preserve">2 1/2 x 10  සුදු  කොච්චි ඇණ </t>
  </si>
  <si>
    <t xml:space="preserve">3 x 6  සුදු  කොච්චි ඇණ </t>
  </si>
  <si>
    <t xml:space="preserve">3 x 7  සුදු  කොච්චි ඇණ </t>
  </si>
  <si>
    <t xml:space="preserve">3 x 8  සුදු  කොච්චි ඇණ </t>
  </si>
  <si>
    <t xml:space="preserve">3 x 10  සුදු  කොච්චි ඇණ </t>
  </si>
  <si>
    <t xml:space="preserve">3 1/2 x 6  සුදු  කොච්චි ඇණ </t>
  </si>
  <si>
    <t xml:space="preserve">3 1/2 x 7  සුදු  කොච්චි ඇණ </t>
  </si>
  <si>
    <t xml:space="preserve">3 1/2 x 8  සුදු  කොච්චි ඇණ </t>
  </si>
  <si>
    <t xml:space="preserve">3 1/2 x 10  සුදු  කොච්චි ඇණ </t>
  </si>
  <si>
    <t xml:space="preserve">5/8 x 5  සුදු යකඩ  කොච්චි ඇණ </t>
  </si>
  <si>
    <t xml:space="preserve">3/4 x 6  සුදු යකඩ  කොච්චි ඇණ </t>
  </si>
  <si>
    <t xml:space="preserve">3/4 x 7  සුදු යකඩ  කොච්චි ඇණ </t>
  </si>
  <si>
    <t xml:space="preserve">3/4 x 8  සුදු යකඩ  කොච්චි ඇණ </t>
  </si>
  <si>
    <t xml:space="preserve">1 x 6  සුදු යකඩ  කොච්චි ඇණ </t>
  </si>
  <si>
    <t xml:space="preserve">1 x 7  සුදු යකඩ  කොච්චි ඇණ </t>
  </si>
  <si>
    <t xml:space="preserve">1 x 8   සුදු යකඩ  කොච්චි ඇණ </t>
  </si>
  <si>
    <t xml:space="preserve">1 x 10  සුදු  යකඩ කොච්චි ඇණ </t>
  </si>
  <si>
    <t xml:space="preserve">1 1/4 x 7  සුදු යකඩ  කොච්චි ඇණ </t>
  </si>
  <si>
    <t xml:space="preserve">1 1/4 x 8  සුදු යකඩ  කොච්චි ඇණ </t>
  </si>
  <si>
    <t xml:space="preserve">1 1/4 x 10  සුදු යකඩ  කොච්චි ඇණ </t>
  </si>
  <si>
    <t xml:space="preserve">1 1/2 x 6  සුදු යකඩ  කොච්චි ඇණ </t>
  </si>
  <si>
    <t xml:space="preserve">1 1/2 x 7  සුදු යකඩ  කොච්චි ඇණ </t>
  </si>
  <si>
    <t xml:space="preserve">1 1/2 x 8  සුදු යකඩ  කොච්චි ඇණ </t>
  </si>
  <si>
    <t xml:space="preserve">1 1/2 x 10  සුදු යකඩ  කොච්චි ඇණ </t>
  </si>
  <si>
    <t xml:space="preserve">2 x 6  සුදු යකඩ  කොච්චි ඇණ </t>
  </si>
  <si>
    <t xml:space="preserve">2 x 7  සුදු යකඩ  කොච්චි ඇණ </t>
  </si>
  <si>
    <t xml:space="preserve">2 x 8  සුදු යකඩ  කොච්චි ඇණ </t>
  </si>
  <si>
    <t xml:space="preserve">2 x 10  සුදු යකඩ  කොච්චි ඇණ </t>
  </si>
  <si>
    <t xml:space="preserve">2 1/2 x 6  සුදු යකඩ  කොච්චි ඇණ </t>
  </si>
  <si>
    <t xml:space="preserve">2 1/2 x 7  සුදු යකඩ  කොච්චි ඇණ </t>
  </si>
  <si>
    <t xml:space="preserve">2 1/2 x 8  සුදු යකඩ කොච්චි ඇණ </t>
  </si>
  <si>
    <t xml:space="preserve">2 1/2 x 10  සුදු යකඩ  කොච්චි ඇණ </t>
  </si>
  <si>
    <t xml:space="preserve">3 x 6  සුදු යකඩ  කොච්චි ඇණ </t>
  </si>
  <si>
    <t xml:space="preserve">3 x 7  සුදු යකඩ  කොච්චි ඇණ </t>
  </si>
  <si>
    <t xml:space="preserve">3 x 8  සුදු යකඩ  කොච්චි ඇණ </t>
  </si>
  <si>
    <t xml:space="preserve">3 x 10  සුදු යකඩ  කොච්චි ඇණ </t>
  </si>
  <si>
    <t xml:space="preserve">3 1/2 x 6  සුදු යකඩ  කොච්චි ඇණ </t>
  </si>
  <si>
    <t xml:space="preserve">3 1/2 x 7  සුදු යකඩ  කොච්චි ඇණ </t>
  </si>
  <si>
    <t xml:space="preserve">3 1/2 x 8  සුදු යකඩ  කොච්චි ඇණ </t>
  </si>
  <si>
    <t xml:space="preserve">3 1/2 x 10  සුදු යකඩ  කොච්චි ඇණ </t>
  </si>
  <si>
    <t xml:space="preserve">3/16 x 1/2 සයිකල් බෝල්ට් ඇණ </t>
  </si>
  <si>
    <t xml:space="preserve">3/16 x 3/4 සයිකල් බෝල්ට් ඇණ </t>
  </si>
  <si>
    <t xml:space="preserve">3/16 x 1 සයිකල් බෝල්ට් ඇණ </t>
  </si>
  <si>
    <t xml:space="preserve">3/16 x 1 1/4 සයිකල් බෝල්ට් ඇණ </t>
  </si>
  <si>
    <t xml:space="preserve">3/16 x 1 1/2 සයිකල් බෝල්ට් ඇණ </t>
  </si>
  <si>
    <t xml:space="preserve">3/16 x 2 සයිකල් බෝල්ට් ඇණ </t>
  </si>
  <si>
    <t xml:space="preserve">1/4 x 1 සයිකල් බෝල්ට් ඇණ </t>
  </si>
  <si>
    <t xml:space="preserve">1/4 x 1 1/4 සයිකල් බෝල්ට් ඇණ </t>
  </si>
  <si>
    <t xml:space="preserve">1/4 x 1 1/2 සයිකල් බෝල්ට් ඇණ </t>
  </si>
  <si>
    <t xml:space="preserve">1/4 x 2 සයිකල් බෝල්ට් ඇණ </t>
  </si>
  <si>
    <t xml:space="preserve">1/4 x 2 1/2 සයිකල් බෝල්ට් ඇණ </t>
  </si>
  <si>
    <t xml:space="preserve">1/4 x 3 සයිකල් බෝල්ට් ඇණ </t>
  </si>
  <si>
    <t xml:space="preserve">1/4 x 3 1/2 සයිකල් බෝල්ට් ඇණ </t>
  </si>
  <si>
    <t xml:space="preserve">1/4 x 4 සයිකල් බෝල්ට් ඇණ </t>
  </si>
  <si>
    <t xml:space="preserve">1/4 x 4 1/2 සයිකල් බෝල්ට් ඇණ </t>
  </si>
  <si>
    <t xml:space="preserve">1/2 x 4 කළු කොච්චි ඇණ </t>
  </si>
  <si>
    <t xml:space="preserve">1/2 x 5 කළු කොච්චි ඇණ </t>
  </si>
  <si>
    <t xml:space="preserve">5/8 x 4  කළු කොච්චි ඇණ </t>
  </si>
  <si>
    <t xml:space="preserve">1/2 x 4 සුදු  කොච්චි ඇණ </t>
  </si>
  <si>
    <t xml:space="preserve">1/2 x 5 සුදු  කොච්චි ඇණ </t>
  </si>
  <si>
    <t>Ana kalu</t>
  </si>
  <si>
    <t>sudu ana</t>
  </si>
  <si>
    <t xml:space="preserve">1/2 x 4 සුදු යකඩ  කොච්චි ඇණ </t>
  </si>
  <si>
    <t xml:space="preserve">1/2 x 5 සුදු යකඩ  කොච්චි ඇණ </t>
  </si>
  <si>
    <t>bolt ana</t>
  </si>
  <si>
    <t>2 x 2  සිවිලින් සීට් eltoro</t>
  </si>
  <si>
    <t xml:space="preserve">මේන් ටී </t>
  </si>
  <si>
    <t xml:space="preserve">කොට ටී  </t>
  </si>
  <si>
    <t xml:space="preserve">වෝල් ඈන්ගල් </t>
  </si>
  <si>
    <t xml:space="preserve">2 x 2  සිවිලින් සීට් ප්ලාස්ටික් </t>
  </si>
  <si>
    <t>සිවිලින් කම්බි 1Kg</t>
  </si>
  <si>
    <t>8 x 1   සුදු යකඩ බෝල්ට් ඇණ</t>
  </si>
  <si>
    <t>8 x 1 1/4  සුදු යකඩ බෝල්ට් ඇණ</t>
  </si>
  <si>
    <t>8 x 1 1/2  සුදු යකඩ බෝල්ට් ඇණ</t>
  </si>
  <si>
    <t>8 x 2  සුදු යකඩ බෝල්ට් ඇණ</t>
  </si>
  <si>
    <t>8 x 2 1/4  සුදු යකඩ බෝල්ට් ඇණ</t>
  </si>
  <si>
    <t>8 x 2 1/2  සුදු යකඩ බෝල්ට් ඇණ</t>
  </si>
  <si>
    <t>8 x 3  සුදු යකඩ බෝල්ට් ඇණ</t>
  </si>
  <si>
    <t>8 x 3 1/4  සුදු යකඩ බෝල්ට් ඇණ</t>
  </si>
  <si>
    <t>8 x 3 1/2  සුදු යකඩ බෝල්ට් ඇණ</t>
  </si>
  <si>
    <t>8 x 4  සුදු යකඩ බෝල්ට් ඇණ</t>
  </si>
  <si>
    <t xml:space="preserve">8 x 5   සුදු යකඩ බෝල්ට් ඇණ </t>
  </si>
  <si>
    <t xml:space="preserve">8 x 6   සුදු යකඩ බෝල්ට් ඇණ </t>
  </si>
  <si>
    <t xml:space="preserve">10 x 1      සුදු යකඩ බෝල්ට් ඇණ </t>
  </si>
  <si>
    <t xml:space="preserve">10 x 1 1/4   සුදු යකඩ බෝල්ට් ඇණ </t>
  </si>
  <si>
    <t xml:space="preserve">10 x 1 1/2   සුදු යකඩ බෝල්ට් ඇණ </t>
  </si>
  <si>
    <t xml:space="preserve">10 x 2   සුදු යකඩ බෝල්ට් ඇණ </t>
  </si>
  <si>
    <t xml:space="preserve">10 x 2 1/4   සුදු යකඩ බෝල්ට් ඇණ </t>
  </si>
  <si>
    <t xml:space="preserve">10 x 2 1/2   සුදු යකඩ බෝල්ට් ඇණ </t>
  </si>
  <si>
    <t xml:space="preserve">10 x 3   සුදු යකඩ බෝල්ට් ඇණ </t>
  </si>
  <si>
    <t xml:space="preserve">10 x 3 1/4   සුදු යකඩ බෝල්ට් ඇණ </t>
  </si>
  <si>
    <t xml:space="preserve">10 x 3 1/2   සුදු යකඩ බෝල්ට් ඇණ </t>
  </si>
  <si>
    <t xml:space="preserve">10 x 4    සුදු යකඩ බෝල්ට් ඇණ </t>
  </si>
  <si>
    <t xml:space="preserve">10 x 5   සුදු යකඩ බෝල්ට් ඇණ </t>
  </si>
  <si>
    <t xml:space="preserve">10 x 6   සුදු යකඩ බෝල්ට් ඇණ </t>
  </si>
  <si>
    <t xml:space="preserve">12 x 1      සුදු යකඩ බෝල්ට් ඇණ </t>
  </si>
  <si>
    <t xml:space="preserve">12 x 1 1/4   සුදු යකඩ බෝල්ට් ඇණ </t>
  </si>
  <si>
    <t xml:space="preserve">12 x 1 1/2   සුදු යකඩ බෝල්ට් ඇණ </t>
  </si>
  <si>
    <t xml:space="preserve">12 x 2   සුදු යකඩ බෝල්ට් ඇණ </t>
  </si>
  <si>
    <t xml:space="preserve">12 x 2 1/4   සුදු යකඩ බෝල්ට් ඇණ </t>
  </si>
  <si>
    <t xml:space="preserve">12 x 2 1/2   සුදු යකඩ බෝල්ට් ඇණ </t>
  </si>
  <si>
    <t xml:space="preserve">12 x 3   සුදු යකඩ බෝල්ට් ඇණ </t>
  </si>
  <si>
    <t xml:space="preserve">12 x 3 1/4   සුදු යකඩ බෝල්ට් ඇණ </t>
  </si>
  <si>
    <t xml:space="preserve">12 x 3 1/2   සුදු යකඩ බෝල්ට් ඇණ </t>
  </si>
  <si>
    <t xml:space="preserve">12 x 4    සුදු යකඩ බෝල්ට් ඇණ </t>
  </si>
  <si>
    <t xml:space="preserve">12 x 5   සුදු යකඩ බෝල්ට් ඇණ </t>
  </si>
  <si>
    <t xml:space="preserve">12 x 6   සුදු යකඩ බෝල්ට් ඇණ </t>
  </si>
  <si>
    <t xml:space="preserve">17 x 1      සුදු යකඩ බෝල්ට් ඇණ </t>
  </si>
  <si>
    <t xml:space="preserve">17 x 1 1/4   සුදු යකඩ බෝල්ට් ඇණ </t>
  </si>
  <si>
    <t xml:space="preserve">17 x 1 1/2   සුදු යකඩ බෝල්ට් ඇණ </t>
  </si>
  <si>
    <t xml:space="preserve">17 x 2   සුදු යකඩ බෝල්ට් ඇණ </t>
  </si>
  <si>
    <t xml:space="preserve">17 x 2 1/4   සුදු යකඩ බෝල්ට් ඇණ </t>
  </si>
  <si>
    <t xml:space="preserve">17 x 2 1/2   සුදු යකඩ බෝල්ට් ඇණ </t>
  </si>
  <si>
    <t xml:space="preserve">17 x 3   සුදු යකඩ බෝල්ට් ඇණ </t>
  </si>
  <si>
    <t xml:space="preserve">17 x 3 1/4   සුදු යකඩ බෝල්ට් ඇණ </t>
  </si>
  <si>
    <t xml:space="preserve">17 x 3 1/2   සුදු යකඩ බෝල්ට් ඇණ </t>
  </si>
  <si>
    <t xml:space="preserve">17 x 4    සුදු යකඩ බෝල්ට් ඇණ </t>
  </si>
  <si>
    <t xml:space="preserve">17 x 5   සුදු යකඩ බෝල්ට් ඇණ </t>
  </si>
  <si>
    <t xml:space="preserve">17 x 6   සුදු යකඩ බෝල්ට් ඇණ </t>
  </si>
  <si>
    <t xml:space="preserve">19 x 1      සුදු යකඩ බෝල්ට් ඇණ </t>
  </si>
  <si>
    <t xml:space="preserve">19 x 1 1/4   සුදු යකඩ බෝල්ට් ඇණ </t>
  </si>
  <si>
    <t xml:space="preserve">19 x 1 1/2   සුදු යකඩ බෝල්ට් ඇණ </t>
  </si>
  <si>
    <t xml:space="preserve">19 x 2   සුදු යකඩ බෝල්ට් ඇණ </t>
  </si>
  <si>
    <t xml:space="preserve">19 x 2 1/4   සුදු යකඩ බෝල්ට් ඇණ </t>
  </si>
  <si>
    <t xml:space="preserve">19 x 2 1/2   සුදු යකඩ බෝල්ට් ඇණ </t>
  </si>
  <si>
    <t xml:space="preserve">19 x 3   සුදු යකඩ බෝල්ට් ඇණ </t>
  </si>
  <si>
    <t xml:space="preserve">19 x 3 1/4   සුදු යකඩ බෝල්ට් ඇණ </t>
  </si>
  <si>
    <t xml:space="preserve">19 x 3 1/2   සුදු යකඩ බෝල්ට් ඇණ </t>
  </si>
  <si>
    <t xml:space="preserve">19 x 4    සුදු යකඩ බෝල්ට් ඇණ </t>
  </si>
  <si>
    <t xml:space="preserve">19 x 5   සුදු යකඩ බෝල්ට් ඇණ </t>
  </si>
  <si>
    <t xml:space="preserve">19 x 6   සුදු යකඩ බෝල්ට් ඇණ </t>
  </si>
  <si>
    <t>8 x 1   G.I  බෝල්ට් ඇණ</t>
  </si>
  <si>
    <t>8 x 1 1/4  G.I  බෝල්ට් ඇණ</t>
  </si>
  <si>
    <t>8 x 1 1/2  G.I  බෝල්ට් ඇණ</t>
  </si>
  <si>
    <t>8 x 2  G.I  බෝල්ට් ඇණ</t>
  </si>
  <si>
    <t>8 x 2 1/4  G.I  බෝල්ට් ඇණ</t>
  </si>
  <si>
    <t>8 x 2 1/2  G.I  බෝල්ට් ඇණ</t>
  </si>
  <si>
    <t>8 x 3  G.I  බෝල්ට් ඇණ</t>
  </si>
  <si>
    <t>8 x 3 1/4 G.I  බෝල්ට් ඇණ</t>
  </si>
  <si>
    <t>8 x 3 1/2  G.I  බෝල්ට් ඇණ</t>
  </si>
  <si>
    <t>8 x 4  G.I  බෝල්ට් ඇණ</t>
  </si>
  <si>
    <t xml:space="preserve">8 x 5   G.I  බෝල්ට් ඇණ </t>
  </si>
  <si>
    <t xml:space="preserve">8 x 6  G.I  බෝල්ට් ඇණ </t>
  </si>
  <si>
    <t xml:space="preserve">10 x 1      G.I  බෝල්ට් ඇණ </t>
  </si>
  <si>
    <t xml:space="preserve">10 x 1 1/4   G.I  බෝල්ට් ඇණ </t>
  </si>
  <si>
    <t xml:space="preserve">10 x 1 1/2   G.I  බෝල්ට් ඇණ </t>
  </si>
  <si>
    <t xml:space="preserve">10 x 2   G.I බෝල්ට් ඇණ </t>
  </si>
  <si>
    <t xml:space="preserve">10 x 2 1/4   G.I  බෝල්ට් ඇණ </t>
  </si>
  <si>
    <t xml:space="preserve">10 x 2 1/2   G.I  බෝල්ට් ඇණ </t>
  </si>
  <si>
    <t xml:space="preserve">10 x 3   G.I  බෝල්ට් ඇණ </t>
  </si>
  <si>
    <t xml:space="preserve">10 x 3 1/4   G.I  බෝල්ට් ඇණ </t>
  </si>
  <si>
    <t xml:space="preserve">10 x 3 1/2   G.I  බෝල්ට් ඇණ </t>
  </si>
  <si>
    <t xml:space="preserve">10 x 4    G.I බෝල්ට් ඇණ </t>
  </si>
  <si>
    <t xml:space="preserve">10 x 5   G.I  බෝල්ට් ඇණ </t>
  </si>
  <si>
    <t xml:space="preserve">10 x 6   G.I  බෝල්ට් ඇණ </t>
  </si>
  <si>
    <t xml:space="preserve">12 x 1      G.I  බෝල්ට් ඇණ </t>
  </si>
  <si>
    <t xml:space="preserve">12 x 1 1/4   G.I  බෝල්ට් ඇණ </t>
  </si>
  <si>
    <t xml:space="preserve">12 x 1 1/2   G.I  බෝල්ට් ඇණ </t>
  </si>
  <si>
    <t xml:space="preserve">12 x 2   G.I  බෝල්ට් ඇණ </t>
  </si>
  <si>
    <t xml:space="preserve">12 x 2 1/4   G.I  බෝල්ට් ඇණ </t>
  </si>
  <si>
    <t xml:space="preserve">12 x 2 1/2   G.I  බෝල්ට් ඇණ </t>
  </si>
  <si>
    <t xml:space="preserve">12 x 3   G.I  බෝල්ට් ඇණ </t>
  </si>
  <si>
    <t xml:space="preserve">12 x 3 1/4   G.I  බෝල්ට් ඇණ </t>
  </si>
  <si>
    <t xml:space="preserve">12 x 3 1/2   G.I  බෝල්ට් ඇණ </t>
  </si>
  <si>
    <t xml:space="preserve">12 x 4    G.I  බෝල්ට් ඇණ </t>
  </si>
  <si>
    <t xml:space="preserve">12 x 5   G.I  බෝල්ට් ඇණ </t>
  </si>
  <si>
    <t xml:space="preserve">12 x 6   G.I  බෝල්ට් ඇණ </t>
  </si>
  <si>
    <t xml:space="preserve">17 x 1   G.I  බෝල්ට් ඇණ </t>
  </si>
  <si>
    <t xml:space="preserve">17 x 1 1/4  G.I  බෝල්ට් ඇණ </t>
  </si>
  <si>
    <t xml:space="preserve">17 x 1 1/2   G.I  බෝල්ට් ඇණ </t>
  </si>
  <si>
    <t xml:space="preserve">17 x 2   G.I  බෝල්ට් ඇණ </t>
  </si>
  <si>
    <t xml:space="preserve">17 x 2 1/4   G.I  බෝල්ට් ඇණ </t>
  </si>
  <si>
    <t xml:space="preserve">17 x 2 1/2   G.I  බෝල්ට් ඇණ </t>
  </si>
  <si>
    <t xml:space="preserve">17 x 3   G.I  බෝල්ට් ඇණ </t>
  </si>
  <si>
    <t xml:space="preserve">17 x 3 1/4   G.I  බෝල්ට් ඇණ </t>
  </si>
  <si>
    <t xml:space="preserve">17 x 3 1/2   G.I  බෝල්ට් ඇණ </t>
  </si>
  <si>
    <t xml:space="preserve">17 x 4    G.I  බෝල්ට් ඇණ </t>
  </si>
  <si>
    <t xml:space="preserve">17 x 5   G.I  බෝල්ට් ඇණ </t>
  </si>
  <si>
    <t xml:space="preserve">17 x 6   G.I  බෝල්ට් ඇණ </t>
  </si>
  <si>
    <t xml:space="preserve">19 x 1      G.I  බෝල්ට් ඇණ </t>
  </si>
  <si>
    <t xml:space="preserve">19 x 1 1/4   G.I  බෝල්ට් ඇණ </t>
  </si>
  <si>
    <t xml:space="preserve">19 x 1 1/2   G.I  බෝල්ට් ඇණ </t>
  </si>
  <si>
    <t xml:space="preserve">19 x 2   G.I  බෝල්ට් ඇණ </t>
  </si>
  <si>
    <t xml:space="preserve">19 x 2 1/4   G.I  බෝල්ට් ඇණ </t>
  </si>
  <si>
    <t xml:space="preserve">19 x 2 1/2   G.I  බෝල්ට් ඇණ </t>
  </si>
  <si>
    <t xml:space="preserve">19 x 3   G.I  බෝල්ට් ඇණ </t>
  </si>
  <si>
    <t xml:space="preserve">19 x 3 1/4   G.I  බෝල්ට් ඇණ </t>
  </si>
  <si>
    <t xml:space="preserve">19 x 3 1/2   G.I  බෝල්ට් ඇණ </t>
  </si>
  <si>
    <t xml:space="preserve">19 x 4    G.I  බෝල්ට් ඇණ </t>
  </si>
  <si>
    <t xml:space="preserve">19 x 5   G.I  බෝල්ට් ඇණ </t>
  </si>
  <si>
    <t xml:space="preserve">19 x 6   G.I  බෝල්ට් ඇණ </t>
  </si>
  <si>
    <t>සුදු යකඩ බෝල්ට් ඇණ</t>
  </si>
  <si>
    <t>G.I  බෝල්ට් ඇණ</t>
  </si>
  <si>
    <t>2 x 2  සිවිලින් සීට් සුදු  eltoro</t>
  </si>
  <si>
    <t>2 x 2  සිවිලින් ඩිසයින් සීට් eltoro</t>
  </si>
  <si>
    <t>DSI ටයර්    128</t>
  </si>
  <si>
    <t>DSI ටියුබ්    129</t>
  </si>
  <si>
    <t xml:space="preserve">  AROMA ටියුබ්   130</t>
  </si>
  <si>
    <t>AROMA ටයර්   131</t>
  </si>
  <si>
    <t>වැහි පීලි රතු පාට  132</t>
  </si>
  <si>
    <t>කළු කොච්චි ඇණ  133</t>
  </si>
  <si>
    <t>සුදු  කොච්චි ඇණ   134</t>
  </si>
  <si>
    <t>සුදු යකඩ  කොච්චි ඇණ 135</t>
  </si>
  <si>
    <t>සයිකල් බෝල්ට් ඇණ   136</t>
  </si>
  <si>
    <t>8 x 1/2   සුදු යකඩ බෝල්ට් ඇණ</t>
  </si>
  <si>
    <t>10 x 1/2   සුදු යකඩ බෝල්ට් ඇණ</t>
  </si>
  <si>
    <t>12 x 1/2   සුදු යකඩ බෝල්ට් ඇණ</t>
  </si>
  <si>
    <t>17 x 1/2   සුදු යකඩ බෝල්ට් ඇණ</t>
  </si>
  <si>
    <t>19 x 1/2   සුදු යකඩ බෝල්ට් ඇණ</t>
  </si>
  <si>
    <t>8 x 1/2   G.I  බෝල්ට් ඇණ</t>
  </si>
  <si>
    <t>10 x 1/2   G.I  බෝල්ට් ඇණ</t>
  </si>
  <si>
    <t>12 x 1/2   G.I  බෝල්ට් ඇණ</t>
  </si>
  <si>
    <t>17 x 1/2   G.I  බෝල්ට් ඇණ</t>
  </si>
  <si>
    <t>19 x 1/2   G.I  බෝල්ට් ඇණ</t>
  </si>
  <si>
    <t xml:space="preserve">1/2  1.2mm මෙල්වා G.I.  පයිප්ප </t>
  </si>
  <si>
    <t xml:space="preserve">1/2  1.4mm  මෙල්වා G.I.  පයිප්ප </t>
  </si>
  <si>
    <t xml:space="preserve">1/2   1.6mm  මෙල්වා G.I.  පයිප්ප </t>
  </si>
  <si>
    <t xml:space="preserve">1/2   1.8mm  මෙල්වා G.I.  පයිප්ප </t>
  </si>
  <si>
    <t xml:space="preserve">3/4  1.2mm මෙල්වා G.I.  පයිප්ප </t>
  </si>
  <si>
    <t xml:space="preserve">3/4  1.4mm  මෙල්වා G.I.  පයිප්ප </t>
  </si>
  <si>
    <t xml:space="preserve">3/4   1.6mm  මෙල්වා G.I.  පයිප්ප </t>
  </si>
  <si>
    <t xml:space="preserve">3/4   1.8mm  මෙල්වා G.I.  පයිප්ප </t>
  </si>
  <si>
    <t xml:space="preserve">1  1.2mm මෙල්වා G.I.  පයිප්ප </t>
  </si>
  <si>
    <t xml:space="preserve">1  1.4mm  මෙල්වා G.I.  පයිප්ප </t>
  </si>
  <si>
    <t xml:space="preserve">1   1.6mm  මෙල්වා G.I.  පයිප්ප </t>
  </si>
  <si>
    <t xml:space="preserve">1   1.8mm  මෙල්වා G.I.  පයිප්ප </t>
  </si>
  <si>
    <t xml:space="preserve">1 1/4   1.2mm මෙල්වා G.I.  පයිප්ප </t>
  </si>
  <si>
    <t xml:space="preserve">1 1/4   1.4mm  මෙල්වා G.I.  පයිප්ප </t>
  </si>
  <si>
    <t xml:space="preserve">1 1/4    1.6mm  මෙල්වා G.I.  පයිප්ප </t>
  </si>
  <si>
    <t xml:space="preserve">1 1/4    1.8mm  මෙල්වා G.I.  පයිප්ප </t>
  </si>
  <si>
    <t xml:space="preserve">1 1/2  1.2mm මෙල්වා G.I.  පයිප්ප </t>
  </si>
  <si>
    <t xml:space="preserve">1 1/2   1.4mm  මෙල්වා G.I.  පයිප්ප </t>
  </si>
  <si>
    <t xml:space="preserve">1 1/2    1.6mm  මෙල්වා G.I.  පයිප්ප </t>
  </si>
  <si>
    <t xml:space="preserve">1 1/2    1.8mm  මෙල්වා G.I.  පයිප්ප </t>
  </si>
  <si>
    <t xml:space="preserve">2   1.2mm මෙල්වා G.I.  පයිප්ප </t>
  </si>
  <si>
    <t xml:space="preserve">2   1.4mm  මෙල්වා G.I.  පයිප්ප </t>
  </si>
  <si>
    <t xml:space="preserve">2   1.6mm  මෙල්වා G.I.  පයිප්ප </t>
  </si>
  <si>
    <t xml:space="preserve">2   1.8mm  මෙල්වා G.I.  පයිප්ප </t>
  </si>
  <si>
    <t xml:space="preserve">16   ටින්කොටඩ් තහඩු </t>
  </si>
  <si>
    <t xml:space="preserve">1/2  0.8mm මෙල්වා G.I.  පයිප්ප </t>
  </si>
  <si>
    <t>1 1/4   0.8mm මෙල්වා G.I.  පයිප්ප (උදලු මිටි) අඩි 1</t>
  </si>
  <si>
    <t xml:space="preserve">1 1/2    2.3mm  මෙල්වා G.I.  පයිප්ප </t>
  </si>
  <si>
    <t xml:space="preserve">2   2.3mm  මෙල්වා G.I.  පයිප්ප </t>
  </si>
  <si>
    <t xml:space="preserve">20  1.2mm  ටින්කොටඩ් තහඩු </t>
  </si>
  <si>
    <t>18  1.2mm  ටින්කොටඩ් තහඩු කාලක්</t>
  </si>
  <si>
    <t>18   ටින්කොටඩ් තහඩු කාලක්</t>
  </si>
  <si>
    <t>GI PIPES</t>
  </si>
  <si>
    <t>18   ටින්කොටඩ් තහඩු  තුනී</t>
  </si>
  <si>
    <t>18  1.2mm  ටින්කොටඩ් තහඩු තුනී</t>
  </si>
  <si>
    <t>20  1.2mm  ටින්කොටඩ් තහඩු කාලක්</t>
  </si>
  <si>
    <t xml:space="preserve">1/2   ඇලුමිනියම් L බාර් </t>
  </si>
  <si>
    <t xml:space="preserve">1/2   ඇලුමිනියම් L බාර් තුනී </t>
  </si>
  <si>
    <t xml:space="preserve">3/4   ඇලුමිනියම් L බාර් </t>
  </si>
  <si>
    <t xml:space="preserve">3/4   ඇලුමිනියම් L බාර් තුනී </t>
  </si>
  <si>
    <t xml:space="preserve">1       ඇලුමිනියම් L බාර් </t>
  </si>
  <si>
    <t xml:space="preserve">1       ඇලුමිනියම් L බාර් තුනී </t>
  </si>
  <si>
    <t xml:space="preserve">3/4   ඇලුමිනියම් පට්ටම් </t>
  </si>
  <si>
    <t xml:space="preserve">1       ඇලුමිනියම් පට්ටම් </t>
  </si>
  <si>
    <t>C.H.E සෙට්</t>
  </si>
  <si>
    <t>F.G. සෙට්</t>
  </si>
  <si>
    <t xml:space="preserve">3/8  ඇන්ටනා බට </t>
  </si>
  <si>
    <t xml:space="preserve">5/16  U පිලී </t>
  </si>
  <si>
    <t xml:space="preserve">3/16  U පිලී </t>
  </si>
  <si>
    <t xml:space="preserve">3/8  U පිලී </t>
  </si>
  <si>
    <t xml:space="preserve">3/8  E පිලී </t>
  </si>
  <si>
    <t xml:space="preserve">5/16  E පිලී </t>
  </si>
  <si>
    <t xml:space="preserve">ත්‍රීවිල් බාර් </t>
  </si>
  <si>
    <t xml:space="preserve">කර්ටන් බාර් </t>
  </si>
  <si>
    <t>3/4 x 1/2  ඇලුමිනියම් L</t>
  </si>
  <si>
    <t xml:space="preserve">1 1/2 x 7/8  හෙවි ඈන්ගල් </t>
  </si>
  <si>
    <t>1 1/2 x 7/8  හෙවි ඈන්ගල්  අඩි 1</t>
  </si>
  <si>
    <t>3/4 x 3/4 ඇලුමිනියම් බාර්</t>
  </si>
  <si>
    <t>1 x 1 ඇලුමිනියම් බාර්</t>
  </si>
  <si>
    <t>1 1/2  x 1 ඇලුමිනියම් බාර්</t>
  </si>
  <si>
    <t>2 x 1 ඇලුමිනියම් බාර්  අඩි 1</t>
  </si>
  <si>
    <t>2  x 1 ඇලුමිනියම් බාර් (අඩි 20)</t>
  </si>
  <si>
    <t>1 x 1 ඇලුමිනියම් බාර් (අඩි 20)</t>
  </si>
  <si>
    <t>රැක් බාර් අඩි 6</t>
  </si>
  <si>
    <t>රැක් බාර් අඩි 8</t>
  </si>
  <si>
    <t>රැක් බාර් කොකු 6</t>
  </si>
  <si>
    <t>රැක් බාර් කොකු 8</t>
  </si>
  <si>
    <t>රැක් බාර් කොකු 10</t>
  </si>
  <si>
    <t>රැක් බාර් කොකු 12</t>
  </si>
  <si>
    <t>රැක් බාර් කොකු ඝන  6</t>
  </si>
  <si>
    <t>රැක් බාර් කොකු ඝන  8</t>
  </si>
  <si>
    <t>රැක් බාර් කොකු ඝන  10</t>
  </si>
  <si>
    <t>රැක් බාර් කොකු ඝන  12</t>
  </si>
  <si>
    <t xml:space="preserve">ක්ලැඩින් සීට්  කළු </t>
  </si>
  <si>
    <t>ක්ලැඩින් සීට් තේක්ක</t>
  </si>
  <si>
    <t>C   කොටස (C.H.E සෙට්)</t>
  </si>
  <si>
    <t>H  කොටස (C.H.E සෙට්)</t>
  </si>
  <si>
    <t>F   කොටස (C.H.E සෙට්)</t>
  </si>
  <si>
    <t>G  කොටස (F.G. සෙට්)</t>
  </si>
  <si>
    <t>F   කොටස (F.G. සෙට්)</t>
  </si>
  <si>
    <t>කර්ටන් බාර් අඩි 1</t>
  </si>
  <si>
    <t>ක්ලැඩින් සීට් 3mm</t>
  </si>
  <si>
    <t>CHE SET</t>
  </si>
  <si>
    <t xml:space="preserve">FG SET </t>
  </si>
  <si>
    <t>ANTANA</t>
  </si>
  <si>
    <t>U PILI</t>
  </si>
  <si>
    <t>ALUMINIUM BAR</t>
  </si>
  <si>
    <t>ALUMINIUM PATTAM</t>
  </si>
  <si>
    <t>RAK BAR</t>
  </si>
  <si>
    <t>KLADIN</t>
  </si>
  <si>
    <t>මෙල්වා G.I.  පයිප්ප    137</t>
  </si>
  <si>
    <t>ඇලුමිනියම් L බාර්    138</t>
  </si>
  <si>
    <t>ඇලුමිනියම්  බාර්    139</t>
  </si>
  <si>
    <t>රැක් බාර්    140</t>
  </si>
  <si>
    <t>ක්ලැඩින් සීට්   141</t>
  </si>
  <si>
    <t xml:space="preserve">3/4 X 3/4 බේස් කප් </t>
  </si>
  <si>
    <t xml:space="preserve">1 X 1  බේස් කප් </t>
  </si>
  <si>
    <t xml:space="preserve">1 1/2  X 1 1/2  බේස් කප් </t>
  </si>
  <si>
    <t xml:space="preserve">2 X 1  බේස් කප් </t>
  </si>
  <si>
    <t xml:space="preserve">2 X 2  බේස් කප් </t>
  </si>
  <si>
    <t xml:space="preserve">3 X 3 බේස් කප් </t>
  </si>
  <si>
    <t>BES CUP</t>
  </si>
  <si>
    <t xml:space="preserve">3 X 1 1/2  බේස් කප් </t>
  </si>
  <si>
    <t>දගර බෝල small</t>
  </si>
  <si>
    <t>දගර බෝල medium</t>
  </si>
  <si>
    <t>දගර බෝල large</t>
  </si>
  <si>
    <t>දගර මල් පොට 6</t>
  </si>
  <si>
    <t>දගර මල් පොට 8</t>
  </si>
  <si>
    <t xml:space="preserve">5/8 x 2  ගේට්ටු බුෂ් ජෝඩු </t>
  </si>
  <si>
    <t>3/4 x 2 ගේට්ටු බුෂ් ජෝඩු</t>
  </si>
  <si>
    <t>1 x 2 ගේට්ටු බුෂ් ජෝඩු</t>
  </si>
  <si>
    <t>1 x 3 ගේට්ටු බුෂ් ජෝඩු</t>
  </si>
  <si>
    <t>1 1/4 x 3 ගේට්ටු බුෂ් ජෝඩු</t>
  </si>
  <si>
    <t>1 1/2 x 3 ගේට්ටු බුෂ් ජෝඩු</t>
  </si>
  <si>
    <t xml:space="preserve">1/2 x 1/2  බුෂ්  කෑලි </t>
  </si>
  <si>
    <t>1/2 x 5/8  බුෂ්  කෑලි</t>
  </si>
  <si>
    <t>1 1/2 x 5/8  බුෂ්  කෑලි</t>
  </si>
  <si>
    <t xml:space="preserve">1 x 1  බොක්ස් බාර් බෝල  </t>
  </si>
  <si>
    <t xml:space="preserve">1 1/2 x 1 1/2 බොක්ස් බාර් බෝල </t>
  </si>
  <si>
    <t xml:space="preserve">2 x 2 බොක්ස් බාර් බෝල </t>
  </si>
  <si>
    <t xml:space="preserve">3 x 3  බොක්ස් බාර් බෝල </t>
  </si>
  <si>
    <t>1 1/2 x 3/8  බුෂ්  කෑලි</t>
  </si>
  <si>
    <t>dagara bola</t>
  </si>
  <si>
    <t>bush</t>
  </si>
  <si>
    <t xml:space="preserve">S-LON වතුර මෝටර් (HP-1/2) </t>
  </si>
  <si>
    <t xml:space="preserve">S-LON වතුර මෝටර් (HP-3/4) </t>
  </si>
  <si>
    <t xml:space="preserve">S-LON වතුර මෝටර් (HP-1) </t>
  </si>
  <si>
    <t>ARPICO වතුර මෝටර් (HP-1)</t>
  </si>
  <si>
    <t>ඇග්‍රෝමැක්ස්   වතුර මෝටර් (HP-1)</t>
  </si>
  <si>
    <t>SINGER  වතුර මෝටර්  (HP-1)</t>
  </si>
  <si>
    <t>SINGER  වතුර මෝටර්  (HP-3/4)</t>
  </si>
  <si>
    <t>SINGER  වතුර මෝටර්  (HP-1/2)</t>
  </si>
  <si>
    <t>U.T.C  වතුර මෝටර් (HP-1/2)</t>
  </si>
  <si>
    <t>ඉන්කෝ නළලිං මෝටර් (HP-1/2) [67m]</t>
  </si>
  <si>
    <t>ඉන්කෝ නළලිං මෝටර් (HP-3/4)  [89m]</t>
  </si>
  <si>
    <t>ඉන්කෝ නළලිං මෝටර් (HP-1)  [110m]</t>
  </si>
  <si>
    <t>ඉන්කෝ නළලිං මෝටර් (HP-1 1/2)  [120m]</t>
  </si>
  <si>
    <t>ඉන්කෝ නළලිං මෝටර් (HP-2)  [140m]</t>
  </si>
  <si>
    <t>MAN  නළලිං මෝටර් (HP-1/2)  [58m]</t>
  </si>
  <si>
    <t>MAN  නළලිං මෝටර් (HP-3/4)  [82m]</t>
  </si>
  <si>
    <t>MAN  නළලිං මෝටර් (HP-1)  [118m]</t>
  </si>
  <si>
    <t>DLB නළලිං මෝටර් (HP-1/2)  [30m]</t>
  </si>
  <si>
    <t>DLB නළලිං මෝටර් (HP-1/2)  [55m]</t>
  </si>
  <si>
    <t>DLB  නළලිං මෝටර් (HP-3/4)  [79m]</t>
  </si>
  <si>
    <t>DLB  නළලිං මෝටර් (HP-1 1/2)  [80m]</t>
  </si>
  <si>
    <t>SINGER නළලිං මෝටර් (HP-1)  [70m]</t>
  </si>
  <si>
    <t>SINGER නළලිං මෝටර් (HP-2)  [80m]</t>
  </si>
  <si>
    <t>MEN   වතුර මෝටර් (HP-1) කට 1"</t>
  </si>
  <si>
    <t xml:space="preserve">MEN   වතුර මෝටර් (HP-1) කට 2" </t>
  </si>
  <si>
    <t>SOLEX  වතුර මෝටර්  (SX 60LD) HP-0.5</t>
  </si>
  <si>
    <t>SOLEX  වතුර මෝටර්  (SX 106)  HP-0.5</t>
  </si>
  <si>
    <t>SOLEX  වතුර මෝටර්  (SX 306)  HP-0.75</t>
  </si>
  <si>
    <t>SOLEX  වතුර මෝටර්  (SX 130/1)  HP-1</t>
  </si>
  <si>
    <t>SOLEX  වතුර මෝටර්  (SXMHS 1252/1)  HP-1</t>
  </si>
  <si>
    <t>WATER PUMP</t>
  </si>
  <si>
    <t>UNICO වතුර මෝටර් (UNC60)</t>
  </si>
  <si>
    <t>UNICO වතුර මෝටර් (UNC LQ250)</t>
  </si>
  <si>
    <t>UNICO වතුර මෝටර් (UNC 130)</t>
  </si>
  <si>
    <t>UNICO වතුර මෝටර් (UNC 146)</t>
  </si>
  <si>
    <t>UNICO වතුර මෝටර් (UNC 158)</t>
  </si>
  <si>
    <t>UNICO වතුර මෝටර් (UNC 180)</t>
  </si>
  <si>
    <t>S-LON  වතුර ටැංකි 550L</t>
  </si>
  <si>
    <t>S-LON  වතුර ටැංකි 750L</t>
  </si>
  <si>
    <t>S-LON  වතුර ටැංකි 1000L</t>
  </si>
  <si>
    <t>ANTON වතුර ටැංකි 500L</t>
  </si>
  <si>
    <t>ANTON වතුර ටැංකි 750L</t>
  </si>
  <si>
    <t>ANTON වතුර ටැංකි 1000L</t>
  </si>
  <si>
    <r>
      <t xml:space="preserve">ARPICO </t>
    </r>
    <r>
      <rPr>
        <sz val="9"/>
        <color theme="1"/>
        <rFont val="Calibri"/>
        <family val="2"/>
        <scheme val="minor"/>
      </rPr>
      <t>වතුර ටැංකි 500L</t>
    </r>
  </si>
  <si>
    <r>
      <t xml:space="preserve">ARPICO </t>
    </r>
    <r>
      <rPr>
        <sz val="9"/>
        <color theme="1"/>
        <rFont val="Calibri"/>
        <family val="2"/>
        <scheme val="minor"/>
      </rPr>
      <t>වතුර ටැංකි 750L</t>
    </r>
  </si>
  <si>
    <r>
      <t xml:space="preserve">ARPICO </t>
    </r>
    <r>
      <rPr>
        <sz val="9"/>
        <color theme="1"/>
        <rFont val="Calibri"/>
        <family val="2"/>
        <scheme val="minor"/>
      </rPr>
      <t>වතුර ටැංකි 1000L</t>
    </r>
  </si>
  <si>
    <r>
      <t xml:space="preserve">ARPICO </t>
    </r>
    <r>
      <rPr>
        <sz val="9"/>
        <color theme="1"/>
        <rFont val="Calibri"/>
        <family val="2"/>
        <scheme val="minor"/>
      </rPr>
      <t>වතුර ටැංකි 2000L</t>
    </r>
  </si>
  <si>
    <t>ANTON වතුර ටැංකි 2000L</t>
  </si>
  <si>
    <t>සෘජුෆෝම් ශීට් 1/4</t>
  </si>
  <si>
    <t>සෘජුෆෝම් ශීට්  1/2</t>
  </si>
  <si>
    <t>සෘජුෆෝම් ශීට්  3/4</t>
  </si>
  <si>
    <t>සෘජුෆෝම් ශීට් 1</t>
  </si>
  <si>
    <t>WATER TANK</t>
  </si>
  <si>
    <t>SHEETS</t>
  </si>
  <si>
    <t>ට්‍රේට් බාර්</t>
  </si>
  <si>
    <t>කටර් අ‍ඪු 6" ABC 18797</t>
  </si>
  <si>
    <t>කටර් අ‍ඪු 6" ABC 18639</t>
  </si>
  <si>
    <t>උල් අ‍ඪු 6" ABC 18794</t>
  </si>
  <si>
    <t>උල් අ‍ඪු 6" ABC 18635</t>
  </si>
  <si>
    <t>උල් අ‍ඪු 7" ABC 18794</t>
  </si>
  <si>
    <t>උල් අ‍ඪු 7" ABC 18635</t>
  </si>
  <si>
    <t>කටර් අ‍ඪු 7" ABC ART 258</t>
  </si>
  <si>
    <t>කටර් අ‍ඪු 7" ABC 18640</t>
  </si>
  <si>
    <t>කටර් අ‍ඪු 8" ABC 18797</t>
  </si>
  <si>
    <t>කටර් අ‍ඪු 8" ABC 18639</t>
  </si>
  <si>
    <t>උල් අ‍ඪු 8" ABC 18794</t>
  </si>
  <si>
    <t>උල් අ‍ඪු 8" ABC 18635</t>
  </si>
  <si>
    <t>MELWA BOX BAR    3</t>
  </si>
  <si>
    <t>වතුර මෝටර්   142</t>
  </si>
  <si>
    <t>ලොක් බෙර EHPL</t>
  </si>
  <si>
    <t>SEALER</t>
  </si>
  <si>
    <t>VARNISH</t>
  </si>
  <si>
    <t>JEMAX සීලර්     143</t>
  </si>
  <si>
    <t>Nippon සීලර්    144</t>
  </si>
  <si>
    <t>Nippon වාර්නිස්    145</t>
  </si>
  <si>
    <t>WOOD PRIMER   146</t>
  </si>
  <si>
    <t>ෆ්ලෝ පේන්ට්   108</t>
  </si>
  <si>
    <t>BLACK BOARD  147</t>
  </si>
  <si>
    <t>වයර් කටර් 8" ABC  NO18638</t>
  </si>
  <si>
    <t>වයර් කටර් 6" ABC  ART253</t>
  </si>
  <si>
    <t>වයර් කටර් 6" ABC  NO18637</t>
  </si>
  <si>
    <t>කටර් අ‍ඪු 4.5"  AC19118B</t>
  </si>
  <si>
    <t>වයර් කටර් 8" ABC  AC18791</t>
  </si>
  <si>
    <t xml:space="preserve">කටු මැෂින් ABC </t>
  </si>
  <si>
    <t>20mm නියන්  ABC</t>
  </si>
  <si>
    <t>12mm නියන්  ABC</t>
  </si>
  <si>
    <t>10mm නියන්  ABC</t>
  </si>
  <si>
    <t>ස්ප්‍රින් ටේප් 5M  ABC</t>
  </si>
  <si>
    <t>ස්ප්‍රින් ටේප් 7.5M  ABC</t>
  </si>
  <si>
    <t>10M  ABC ටේප්</t>
  </si>
  <si>
    <t>20M  ABC ටේප්</t>
  </si>
  <si>
    <t>30M  ABC ටේප්</t>
  </si>
  <si>
    <t xml:space="preserve">පේප කටර් ABC </t>
  </si>
  <si>
    <t>කම්බි බ්‍රෂ්  ABC</t>
  </si>
  <si>
    <t xml:space="preserve">කටු මැෂින් අඩු </t>
  </si>
  <si>
    <t>ලොක් අඩු  RONIX  10"</t>
  </si>
  <si>
    <t>රිවට් ගන් HUAZHOU</t>
  </si>
  <si>
    <t xml:space="preserve">අමානෝ කතුරු හොද </t>
  </si>
  <si>
    <t>වයර් කටර් WISEUP 200mm</t>
  </si>
  <si>
    <t>GLUE GUN 20W නිල්</t>
  </si>
  <si>
    <t xml:space="preserve">GLUE GUN 20W සුදු </t>
  </si>
  <si>
    <t>GLUE GUN 40W නිල්</t>
  </si>
  <si>
    <t>GLUE GUN 80W නිල්</t>
  </si>
  <si>
    <t>අමානෝ කතුරු (හැඩ කපන) TM</t>
  </si>
  <si>
    <t xml:space="preserve">GLUE GUN 20W  අඩු  </t>
  </si>
  <si>
    <t xml:space="preserve">ඇලංගි සෙට් පොඩි </t>
  </si>
  <si>
    <t>ඇලංගි සෙට් 9</t>
  </si>
  <si>
    <t>ඇලංගි සෙට්  XINGTAI</t>
  </si>
  <si>
    <t>අමානෝ කතුරු හොද 10"</t>
  </si>
  <si>
    <t>ඇලංගි සෙට් 10PCS</t>
  </si>
  <si>
    <t>කටර් අ‍ඪු HIBO</t>
  </si>
  <si>
    <t xml:space="preserve">වීදුරු ස්කේපර් </t>
  </si>
  <si>
    <t>ලොක් අඩු CONAN</t>
  </si>
  <si>
    <t xml:space="preserve">BRUSS CUTTER PLATE </t>
  </si>
  <si>
    <t xml:space="preserve">හුලං මීටර් </t>
  </si>
  <si>
    <t>ග්‍රයින්ඩර් යතුරු VBW 13mm</t>
  </si>
  <si>
    <t xml:space="preserve">4 PCS ස්කේපර් </t>
  </si>
  <si>
    <t>STEP DRILL BIT</t>
  </si>
  <si>
    <t xml:space="preserve">කොමඩ් ඇන සෙට් </t>
  </si>
  <si>
    <t>හෝල් සොව් (HOLE SAW)</t>
  </si>
  <si>
    <t>ප්‍රෙෂර් ගන්  ජොයින්ට්</t>
  </si>
  <si>
    <t xml:space="preserve">ග්‍රීස් නිපල් ක්ලිප් </t>
  </si>
  <si>
    <t>4" ග්‍රයින්ඩර් යතුරු STANDARD</t>
  </si>
  <si>
    <t>පේපකටර් LINAI</t>
  </si>
  <si>
    <t xml:space="preserve">ටයිල් කටර් රේසර් SH-04 </t>
  </si>
  <si>
    <t>නියන් 6mm SUPER TEC</t>
  </si>
  <si>
    <t>නියන් 18mm  K-TEC</t>
  </si>
  <si>
    <t>නියන් 25mm  FEIBAD</t>
  </si>
  <si>
    <t>සින්ක් ඩස් කැප් 1 ක්</t>
  </si>
  <si>
    <t xml:space="preserve">සුදු යකඩ 8" ලොක් සොයිබ </t>
  </si>
  <si>
    <t xml:space="preserve">සුදු යකඩ 3" හතරැස් සොයිබ 1 ක් </t>
  </si>
  <si>
    <t>ස්පැනර්  8"</t>
  </si>
  <si>
    <t>ස්පැනර්  6"</t>
  </si>
  <si>
    <t>ස්පැනර්  10"</t>
  </si>
  <si>
    <t>ස්පැනර්  12"</t>
  </si>
  <si>
    <t>ස්පැනර්  8" TM</t>
  </si>
  <si>
    <t>පයිප්ප රින්ච් 10"</t>
  </si>
  <si>
    <t>පයිප්ප රින්ච් 12"</t>
  </si>
  <si>
    <t>පයිප්ප රින්ච් 14"</t>
  </si>
  <si>
    <t xml:space="preserve">7  යතුරු </t>
  </si>
  <si>
    <t xml:space="preserve">8   යතුරු </t>
  </si>
  <si>
    <t xml:space="preserve">9  යතුරු </t>
  </si>
  <si>
    <t xml:space="preserve">10  යතුරු </t>
  </si>
  <si>
    <t xml:space="preserve">11  යතුරු </t>
  </si>
  <si>
    <t xml:space="preserve">12  යතුරු </t>
  </si>
  <si>
    <t xml:space="preserve">13  යතුරු </t>
  </si>
  <si>
    <t xml:space="preserve">14  යතුරු </t>
  </si>
  <si>
    <t xml:space="preserve">15  යතුරු </t>
  </si>
  <si>
    <t xml:space="preserve">16  යතුරු </t>
  </si>
  <si>
    <t xml:space="preserve">18  යතුරු </t>
  </si>
  <si>
    <t xml:space="preserve">19  යතුරු </t>
  </si>
  <si>
    <t xml:space="preserve">17  යතුරු අඩු </t>
  </si>
  <si>
    <t xml:space="preserve">20  යතුරු </t>
  </si>
  <si>
    <t xml:space="preserve">21  යතුරු </t>
  </si>
  <si>
    <t xml:space="preserve">22  යතුරු </t>
  </si>
  <si>
    <t xml:space="preserve">23  යතුරු </t>
  </si>
  <si>
    <t xml:space="preserve">24  යතුරු </t>
  </si>
  <si>
    <t xml:space="preserve">25  යතුරු </t>
  </si>
  <si>
    <t xml:space="preserve">26  යතුරු </t>
  </si>
  <si>
    <t xml:space="preserve">27  යතුරු </t>
  </si>
  <si>
    <t xml:space="preserve">28  යතුරු </t>
  </si>
  <si>
    <t xml:space="preserve">29  යතුරු </t>
  </si>
  <si>
    <t xml:space="preserve">30  යතුරු </t>
  </si>
  <si>
    <t xml:space="preserve">31  යතුරු </t>
  </si>
  <si>
    <t xml:space="preserve">32  යතුරු </t>
  </si>
  <si>
    <t>YATHURU</t>
  </si>
  <si>
    <t xml:space="preserve">7-8 රින්ච් යතුරු </t>
  </si>
  <si>
    <t xml:space="preserve">8-9 රින්ච් යතුරු </t>
  </si>
  <si>
    <t xml:space="preserve">10-11 රින්ච් යතුරු </t>
  </si>
  <si>
    <t xml:space="preserve">12-13  රින්ච් යතුරු </t>
  </si>
  <si>
    <t xml:space="preserve">14-15  රින්ච් යතුරු </t>
  </si>
  <si>
    <t xml:space="preserve">16-17  රින්ච් යතුරු </t>
  </si>
  <si>
    <t xml:space="preserve">15-16  රින්ච් යතුරු </t>
  </si>
  <si>
    <t xml:space="preserve">18-19  රින්ච් යතුරු </t>
  </si>
  <si>
    <t>සිලිකන් ගම් ටියුබ් කිලියර් PLM(35G)</t>
  </si>
  <si>
    <t>සිලිකන් ගම් ටියුබ් කිලියර් PLM(85G)</t>
  </si>
  <si>
    <t>සිලිකන් ගම් ටියුබ් කිලියර් HI-TECH(35G)</t>
  </si>
  <si>
    <t>සිලිකන් ගම් ටියුබ් කිලියර් HI-TECH(85G)</t>
  </si>
  <si>
    <t>MULTIBOND AUTO සීලර් සිලන්ට් 75ml</t>
  </si>
  <si>
    <t>MULTIBOND AUTO සීලර් සිලන්ට් 32ml</t>
  </si>
  <si>
    <t>MULTIBOND ගැස්කට් මාකර්  85G</t>
  </si>
  <si>
    <t>GREY ගැස්කට් මාකර් 85G</t>
  </si>
  <si>
    <t>MULTIBOND ගැස්කට් මාකර් 32G</t>
  </si>
  <si>
    <t>MULTIBOND සිලිකන් 75ML</t>
  </si>
  <si>
    <t>NIPPON ඩබල් ගම් ලී 30G (TWO PACK)</t>
  </si>
  <si>
    <t>NIPPON ඩබල් ගම් ලී 70G (TWO PACK)</t>
  </si>
  <si>
    <t>MULTIBOND යකඩ අලවන ගම් 35G</t>
  </si>
  <si>
    <t>MULTIBOND යකඩ අලවන ගම් 20G</t>
  </si>
  <si>
    <t>PETROKEM FIX RITE ඩබල් ගම්  20MLX2</t>
  </si>
  <si>
    <t>ARLOLDITEE ඩබල් ගම්  17ML X 2</t>
  </si>
  <si>
    <t>ARALDITE යකඩ අලවන ගම් සෙට් ඒක 20G</t>
  </si>
  <si>
    <t>V-TECH සිලිකන් ගැස්කට් මාකර් 15G</t>
  </si>
  <si>
    <t>ARALDITE යකඩ අලවන ගම් සෙට් ඒක 13G</t>
  </si>
  <si>
    <t>MULTIBOND යකඩ අලවන ගම් 10G</t>
  </si>
  <si>
    <t>SILICONE</t>
  </si>
  <si>
    <t>SPANAR</t>
  </si>
  <si>
    <t>NIYAN</t>
  </si>
  <si>
    <t>CUTTER</t>
  </si>
  <si>
    <t>LOK ADU</t>
  </si>
  <si>
    <t>STEPLER</t>
  </si>
  <si>
    <t>GLUE GUN</t>
  </si>
  <si>
    <t>BRUSS CUTTER</t>
  </si>
  <si>
    <t>ALANGI SET</t>
  </si>
  <si>
    <t>AIR METER</t>
  </si>
  <si>
    <t>BAYINDIN</t>
  </si>
  <si>
    <t>SCAPER</t>
  </si>
  <si>
    <t>GRILL</t>
  </si>
  <si>
    <t>HOLE SAW</t>
  </si>
  <si>
    <t>HOSE JOINT</t>
  </si>
  <si>
    <t>PAPER CUTTER</t>
  </si>
  <si>
    <t>DUS CAP</t>
  </si>
  <si>
    <t>SOIBA</t>
  </si>
  <si>
    <t>GRESE NIPPLE</t>
  </si>
  <si>
    <t>ABC</t>
  </si>
  <si>
    <t>අත් කියත් 18" (ලී මිට) KEVIN</t>
  </si>
  <si>
    <t>අත් කියත් 20" (ලී මිට) KEVIN</t>
  </si>
  <si>
    <t>අත් කියත් 22" (ලී මිට) KEVIN</t>
  </si>
  <si>
    <t>අත් කියත් 18" KEVIN</t>
  </si>
  <si>
    <t>අත් කියත් 20"  KEVIN</t>
  </si>
  <si>
    <t>අත් කියත් 22"  KEVIN</t>
  </si>
  <si>
    <t>අත් කියත් 20"  U.T.C.</t>
  </si>
  <si>
    <t xml:space="preserve">කියත් පටි අඩු </t>
  </si>
  <si>
    <t xml:space="preserve">කියත් පටි සුදු පාට  </t>
  </si>
  <si>
    <t>කියත් පටි කහ පාට</t>
  </si>
  <si>
    <t>අත් කියත් 18" U.T.C.</t>
  </si>
  <si>
    <t>කියත් පටි PE+</t>
  </si>
  <si>
    <t xml:space="preserve">කියත් පටි රතු    </t>
  </si>
  <si>
    <t>KIYATH /කියත්</t>
  </si>
  <si>
    <t xml:space="preserve">WATERTEC ටැප් </t>
  </si>
  <si>
    <t xml:space="preserve">WATERTEC ගාඩන් ටැප් </t>
  </si>
  <si>
    <t xml:space="preserve">WATERTEC  ඩබල් ටැප් </t>
  </si>
  <si>
    <t xml:space="preserve">WATERTEC බේසින් ටැප් </t>
  </si>
  <si>
    <t xml:space="preserve">WATERTEC බේසින් ටැප් නිකල් </t>
  </si>
  <si>
    <t xml:space="preserve">WATERTEC කන්සියුල් වෑල් </t>
  </si>
  <si>
    <t xml:space="preserve">WATERTEC ඇන්ගල් වෑල් </t>
  </si>
  <si>
    <t xml:space="preserve">WATERTEC ඩබල් ඇන්ගල් වෑල් </t>
  </si>
  <si>
    <t xml:space="preserve">S-LON ටැප් </t>
  </si>
  <si>
    <t xml:space="preserve">S-LON බේසින් ටැප් </t>
  </si>
  <si>
    <t xml:space="preserve">DISCO ඩබල් ඇන්ගල් වෑල් </t>
  </si>
  <si>
    <t xml:space="preserve">I-LOOK බේසින් ටැප් </t>
  </si>
  <si>
    <t xml:space="preserve">MANGO GALAXY  බේසින් ටැප් </t>
  </si>
  <si>
    <t xml:space="preserve">WATERTEC බිට් ටැප් </t>
  </si>
  <si>
    <t xml:space="preserve">S-LON නිකල් බේසින් ටැප් </t>
  </si>
  <si>
    <t xml:space="preserve">WATERTEC අගල කන්සිල් වෑල් </t>
  </si>
  <si>
    <t xml:space="preserve">MOTEC ඇන්ගල් වෑල් </t>
  </si>
  <si>
    <t>ARPICO ඇන්ගල් වෑල් AV-P1801</t>
  </si>
  <si>
    <t xml:space="preserve">BRASSCO බිඩේ ෂවර් එක </t>
  </si>
  <si>
    <t xml:space="preserve">EVEREST සින්ක් ටැප් </t>
  </si>
  <si>
    <t xml:space="preserve">BRASSCO සින්ක් ටැප් </t>
  </si>
  <si>
    <t xml:space="preserve">GALAXY සින්ක් ටැප් </t>
  </si>
  <si>
    <t xml:space="preserve">PLM සින්ක් ටැප් </t>
  </si>
  <si>
    <t xml:space="preserve">DURA කොට සින්ක් ටැප් </t>
  </si>
  <si>
    <t xml:space="preserve">ARPICO සින්ක් ටැප් </t>
  </si>
  <si>
    <t xml:space="preserve">TRUFLO සින්ක් ටැප් </t>
  </si>
  <si>
    <t xml:space="preserve">S-LON සින්ක් ටැප් </t>
  </si>
  <si>
    <t xml:space="preserve">WATERTEC සින්ක් ටැප් </t>
  </si>
  <si>
    <t>ජොයින්ට් (national)</t>
  </si>
  <si>
    <t xml:space="preserve">පීලි කොකු </t>
  </si>
  <si>
    <t>LEO බේසින් ටැප් (pvc)</t>
  </si>
  <si>
    <t>MORTIST DOOR LOCK PLM</t>
  </si>
  <si>
    <t>UNION දොර ලොක් PLM</t>
  </si>
  <si>
    <t>ගලි පියන් POLO</t>
  </si>
  <si>
    <t xml:space="preserve">ගලි පියන් ප්ලාස්ටික් </t>
  </si>
  <si>
    <t xml:space="preserve">PUSH ANGLE VAULE </t>
  </si>
  <si>
    <t>ඈන්ගල් වෑල්  SPRING</t>
  </si>
  <si>
    <t>ඈන්ගල් වෑල්  LEO</t>
  </si>
  <si>
    <t>හෙඩ් ෂවර්  PLM</t>
  </si>
  <si>
    <t>හෙඩ් ෂවර්  පොඩි (4 x 4)</t>
  </si>
  <si>
    <t>හෑන්ඩ් ෂවර් LEO</t>
  </si>
  <si>
    <t>හෑන්ඩ් ෂවර් කොටු LEO</t>
  </si>
  <si>
    <t>හෑන්ඩ් ෂවර්  PLM</t>
  </si>
  <si>
    <t xml:space="preserve">ගලි පියන් TILE STYLE </t>
  </si>
  <si>
    <t xml:space="preserve">4 මැජික් බෙන්ට්  අළු පාට </t>
  </si>
  <si>
    <t>හෑන්ඩ් ෂවර් රවුම් PLATINA</t>
  </si>
  <si>
    <t>HOT WATER SINK TAP</t>
  </si>
  <si>
    <t>ඈන්ගල් වෑල්  BRAVO</t>
  </si>
  <si>
    <t>බිප් ටැප්  USHA</t>
  </si>
  <si>
    <t>බිප් ටැප්  VARTE</t>
  </si>
  <si>
    <t xml:space="preserve">ඇන්ගල් වෑල් PLM </t>
  </si>
  <si>
    <t xml:space="preserve">කන්සියුල් වෑල් PLM </t>
  </si>
  <si>
    <t>බිඩෙට්  ෂවර් හෝස්  LEO</t>
  </si>
  <si>
    <t>බිඩෙට්  ෂවර් හෝස්  BRASSCO</t>
  </si>
  <si>
    <t>බිඩෙට්  ෂවර් හෝස්  HEAVY  4'</t>
  </si>
  <si>
    <t xml:space="preserve">බිඩෙට්  ෂවර් ප්ලාස්ටික් </t>
  </si>
  <si>
    <t xml:space="preserve">බිඩෙට්  ෂවර් LEO </t>
  </si>
  <si>
    <t>බිඩෙට්  ෂවර් GALAXY (PLM)</t>
  </si>
  <si>
    <t>බිඩෙට්  ෂවර් LEO HEAVY</t>
  </si>
  <si>
    <t>BATHROOM DOOR LOCKSET (U.T.C)</t>
  </si>
  <si>
    <t xml:space="preserve">සබන් ට්‍රේ </t>
  </si>
  <si>
    <t>BATHROOM DOOR LOCKSET RAIDER</t>
  </si>
  <si>
    <t xml:space="preserve">ටවල් බාර්  LEO </t>
  </si>
  <si>
    <t>ටවල් බාර්  WESAD  1 ක්</t>
  </si>
  <si>
    <t>ටවල් හැගස්  WESAD  1 ක්</t>
  </si>
  <si>
    <t>සබන් ට්‍රේ පොඩි  JSLO</t>
  </si>
  <si>
    <t>ඈන්ගල් වෑල්  ප්ලාස්ටික් DISCO</t>
  </si>
  <si>
    <t xml:space="preserve">SLIM ROUND ප්ලාස්ටික් ෂවර් </t>
  </si>
  <si>
    <t xml:space="preserve">ටෙලිෆෝන් ෂවර් </t>
  </si>
  <si>
    <t>ටෙලිෆෝන් ෂවර් GALAXY</t>
  </si>
  <si>
    <t xml:space="preserve">පොඩි අයගේ බයිසිකල් ෂීට්  </t>
  </si>
  <si>
    <t xml:space="preserve">ඩයිනමෝ </t>
  </si>
  <si>
    <t xml:space="preserve">ඉලෙක්ක්‍රීක් ඩයිනමෝ </t>
  </si>
  <si>
    <t xml:space="preserve">ලොකු බිසිකල් ටේ ලයිට් </t>
  </si>
  <si>
    <t xml:space="preserve">මවුන්ටන් බයිසිකල් මට්ජාඩ් </t>
  </si>
  <si>
    <t xml:space="preserve">මවුන්ටන් බයිසිකල් මට්ජාඩ් ලොකු  </t>
  </si>
  <si>
    <t xml:space="preserve">මවුන්ටන් බයිසිකල් අං ජෝඩුව </t>
  </si>
  <si>
    <t xml:space="preserve">බයිසිකල් ෂිට් බට </t>
  </si>
  <si>
    <t xml:space="preserve">බයිසිකල් ෂිට් අඩූ බට </t>
  </si>
  <si>
    <t xml:space="preserve">මවුන්ටන් බයිසිකල් හැඩල් </t>
  </si>
  <si>
    <t xml:space="preserve">3/4 බයිසිකල් බ්‍රේක් සෙට් </t>
  </si>
  <si>
    <t xml:space="preserve">මවුන්ටන් බයිසිකල් බ්‍රේක් සෙට් </t>
  </si>
  <si>
    <t xml:space="preserve">මවුන්ටන් බයිසිකල් ලිවර් බ්‍රේක් සෙට් </t>
  </si>
  <si>
    <t xml:space="preserve">මවුන්ටන් බයිසිකල් හැඩල් කොපු </t>
  </si>
  <si>
    <t xml:space="preserve">ජියර් එජෙස්මන්ට් විල් (ඇලන්ගි ඇණ සහිත) </t>
  </si>
  <si>
    <t xml:space="preserve">ජියර් එජෙස්මන්ට් විල් </t>
  </si>
  <si>
    <t xml:space="preserve">බයිසිකල් දගර ලෝක් කළු </t>
  </si>
  <si>
    <t xml:space="preserve">බයිසිකල් පොඩි බෙල් </t>
  </si>
  <si>
    <t>බයිසිකල් සයිට් ස්ටැන්ඩ් 20"</t>
  </si>
  <si>
    <t>බයිසිකල් සයිට් ස්ටැන්ඩ් 26"</t>
  </si>
  <si>
    <t>බයිසිකල් සයිට් ස්ටැන්ඩ් 28"</t>
  </si>
  <si>
    <t>බයිසිකල් කොක් වීල් රෝදය 44"</t>
  </si>
  <si>
    <t xml:space="preserve">ලොකු බයිසිකල් ෂිට් කවර </t>
  </si>
  <si>
    <t xml:space="preserve">බයිසිකල් ෂිට් කවර </t>
  </si>
  <si>
    <t xml:space="preserve">ලොකු බයිසිකල් බ්‍රේක් යු පස්ස </t>
  </si>
  <si>
    <t xml:space="preserve">ලොකු බයිසිකල් බ්‍රේක් යු ඉස්සරහ </t>
  </si>
  <si>
    <t xml:space="preserve">ලොකු බයිසිකල් බ්‍රේක් ඔරුව </t>
  </si>
  <si>
    <t xml:space="preserve">ලොකු බයිසිකල් ලොක් </t>
  </si>
  <si>
    <t>බයිසිකල් සයිට් රෝද 16"/20"</t>
  </si>
  <si>
    <t>26 බාත්රූම් දොර ( ක්ලැඩින් )</t>
  </si>
  <si>
    <t>28 1/2  බාත්රූම් දොර</t>
  </si>
  <si>
    <t>28 1/2  බාත්රූම් දොර (ස්ටිකර් )</t>
  </si>
  <si>
    <t>26 බාත්රූම් දොර (ස්ටිකර් )</t>
  </si>
  <si>
    <t>26 බාත්රූම් දොර (කණ්නාඩි )</t>
  </si>
  <si>
    <t>26 බාත්රූම් දොර (වීදුරු)</t>
  </si>
  <si>
    <t>30 බාත්රූම් දොර (වීදුරු)</t>
  </si>
  <si>
    <t>30 බාත්රූම් දොර (ක්ලැඩින්)</t>
  </si>
  <si>
    <t xml:space="preserve">ෆෑන් ලයිට් ලොකු </t>
  </si>
  <si>
    <t>ෆෑන් ලයිට් පොඩි</t>
  </si>
  <si>
    <t>යතුරු     148</t>
  </si>
  <si>
    <t>ABC උපාංග   149</t>
  </si>
  <si>
    <t>TOOLS    150</t>
  </si>
  <si>
    <t>සිලිකන්   151</t>
  </si>
  <si>
    <t xml:space="preserve">බයිසිකල් ෂීට් </t>
  </si>
  <si>
    <t>SHEET</t>
  </si>
  <si>
    <t>DAINAMO</t>
  </si>
  <si>
    <t>BYCYCLE</t>
  </si>
  <si>
    <t>WATERTEC</t>
  </si>
  <si>
    <t>TAP</t>
  </si>
  <si>
    <t>BATHROOM</t>
  </si>
  <si>
    <t>THAHADU</t>
  </si>
  <si>
    <t>DOOR LOCK</t>
  </si>
  <si>
    <t>වතුර ටැංකි   152</t>
  </si>
  <si>
    <t>ටින්කොටඩ් තහඩු  153</t>
  </si>
  <si>
    <t>කියත්   154</t>
  </si>
  <si>
    <t>water tec ටැප්   155</t>
  </si>
  <si>
    <t>ටැප්   156</t>
  </si>
  <si>
    <t>සින්ක් ටැප්   157</t>
  </si>
  <si>
    <t>BATHROOM ITEMS   158</t>
  </si>
  <si>
    <t>සිවිලින් සීට්   159</t>
  </si>
  <si>
    <t>වැහි පීලි අළු පාට  160</t>
  </si>
  <si>
    <t>දොර ලොක්  161</t>
  </si>
  <si>
    <t>බයිසිකල් චේන් 1/2 x 1/8</t>
  </si>
  <si>
    <t>බයිසිකල් චේන් 1/2 x 1/9 LUMSTAR</t>
  </si>
  <si>
    <t xml:space="preserve">හබ් බ්‍රේක්  </t>
  </si>
  <si>
    <t xml:space="preserve">හබ් බ්‍රේක්  LUMSTAR </t>
  </si>
  <si>
    <t xml:space="preserve">HERO පැටල් ජෝඩු </t>
  </si>
  <si>
    <t xml:space="preserve">HERO බයිසිකල් චේන් (1/2  x 1/8) </t>
  </si>
  <si>
    <t>ඇක්සල් නට් ඉස්සරහ</t>
  </si>
  <si>
    <t xml:space="preserve">ඇක්සල් නට් පස්ස </t>
  </si>
  <si>
    <t>ඇක්සල් නට් ඉස්සරහ (මවුන්ටන් )</t>
  </si>
  <si>
    <t>ඇක්සල් නට් පස්ස (මවුන්ටන් )</t>
  </si>
  <si>
    <t xml:space="preserve">චේන් ඇජෙස්මන්ට් </t>
  </si>
  <si>
    <t>7 IN 1 මල්ටි ශොකට් 5A   (2 meters)</t>
  </si>
  <si>
    <t>7 IN 1 මල්ටි ශොකට් 13A   (2 meters)</t>
  </si>
  <si>
    <t>7 IN 1 මල්ටි ශොකට් 5A   (3.5 meters)</t>
  </si>
  <si>
    <t>7 IN 1 මල්ටි ශොකට් 13A   (3.5 meters)</t>
  </si>
  <si>
    <t xml:space="preserve">BEEBRO BRUSH CUTTER </t>
  </si>
  <si>
    <t xml:space="preserve">ORANGE සිවිලිම් ෆෑන් </t>
  </si>
  <si>
    <t xml:space="preserve">BAJAJ සිවිලිම් ෆෑන් </t>
  </si>
  <si>
    <t xml:space="preserve">POLYCROME සිවිලිම් ෆෑන් </t>
  </si>
  <si>
    <t xml:space="preserve">SISIL සිවිලිම් ෆෑන් </t>
  </si>
  <si>
    <t xml:space="preserve">HAVELLS සිවිලිම් ෆෑන් </t>
  </si>
  <si>
    <t xml:space="preserve">STAND ෆෑන් </t>
  </si>
  <si>
    <t xml:space="preserve">POWER පැටල් ජෝඩු </t>
  </si>
  <si>
    <t xml:space="preserve">පැටල් ජෝඩු පොඩි </t>
  </si>
  <si>
    <t xml:space="preserve">ජියර් ෆ්‍රිවිල් සෙට් </t>
  </si>
  <si>
    <t>බයිසිකල් හෝන් (7 sound)</t>
  </si>
  <si>
    <t>4 IN 1 මල්ටි ශොකට් 5A   (1 meters)</t>
  </si>
  <si>
    <t>සොහොන් බ්‍රැකට්</t>
  </si>
  <si>
    <t>NE මල්ටි ශොකට් 13A   (5 meters)</t>
  </si>
  <si>
    <t>NE මල්ටි ශොකට් 5A   (5 meters)</t>
  </si>
  <si>
    <t>POLYCROME  මල්ටි ශොකට් 13A (5 meters)</t>
  </si>
  <si>
    <t>ORANGE  මල්ටි ශොකට් 13A (5 meters)</t>
  </si>
  <si>
    <t>ORANGE  මල්ටි ශොකට් 13A (3.5 meters)</t>
  </si>
  <si>
    <t xml:space="preserve">බ්‍රේක් ඇණ ලොකු බයිසිකල් </t>
  </si>
  <si>
    <t xml:space="preserve">ඉස්සරහ කොන්ස් නට් </t>
  </si>
  <si>
    <t xml:space="preserve">පස්ස කොන්ස් නට් </t>
  </si>
  <si>
    <t xml:space="preserve">හබ් කප් ඉස්සරහ </t>
  </si>
  <si>
    <t xml:space="preserve">හබ් කප් පස්ස </t>
  </si>
  <si>
    <t xml:space="preserve">28 ඇක්සල් නට් ඉස්සරහ </t>
  </si>
  <si>
    <t xml:space="preserve">28 ඇක්සල් නට්  පස්ස  </t>
  </si>
  <si>
    <t xml:space="preserve">කටර් පින් </t>
  </si>
  <si>
    <t xml:space="preserve">මඩ්ගාඩ් බ්‍රැකට් </t>
  </si>
  <si>
    <t>පැටල් කොන්ස් නට්</t>
  </si>
  <si>
    <t xml:space="preserve">ඔරුවේ ඇණ </t>
  </si>
  <si>
    <t xml:space="preserve">ඉස්සරහ කොන්ස් නට් කොලර් එක සහිත </t>
  </si>
  <si>
    <t xml:space="preserve">පස්ස කොන්ස් නට් කොලර් එක සහිත </t>
  </si>
  <si>
    <t xml:space="preserve">ඉස්පොක් යතුරු </t>
  </si>
  <si>
    <t xml:space="preserve">මවුනටන් B.B. ඇක්සල් නට් </t>
  </si>
  <si>
    <t xml:space="preserve">ජියර් වීල් </t>
  </si>
  <si>
    <t xml:space="preserve">ලොකු බයිසිකල් ස්ටැන්ඩ් ස්ප්‍රින් </t>
  </si>
  <si>
    <t>බයිසිකල් ඩිස් පෑඩ්</t>
  </si>
  <si>
    <t>චේන් ලෝක්</t>
  </si>
  <si>
    <t>වැල් කර</t>
  </si>
  <si>
    <t xml:space="preserve">බයිසිකල් ඩිස් වීල් එක </t>
  </si>
  <si>
    <t xml:space="preserve">මවුන්ටන් බයිසිකල් හැඩල් ඇන </t>
  </si>
  <si>
    <t xml:space="preserve">ලොකු බයිසිකල් හැඩල් ඇන </t>
  </si>
  <si>
    <t xml:space="preserve"> බයිසිකල් ස්පෝක් මල්  </t>
  </si>
  <si>
    <t xml:space="preserve">කේබල් බ්‍රේක් ඇන </t>
  </si>
  <si>
    <t xml:space="preserve">ලොකු බයිසිකල් ෂිට් ස්ප්‍රින් </t>
  </si>
  <si>
    <t>ට්‍රේඩ් සීල් 1" අඩු</t>
  </si>
  <si>
    <t>ට්‍රේඩ් සීල් 1/2" අඩු</t>
  </si>
  <si>
    <t>tred seal</t>
  </si>
  <si>
    <t>ට්‍රේඩ් සීල්  163</t>
  </si>
  <si>
    <t>ට්‍රේඩ් සීල් 1/2" S-LON</t>
  </si>
  <si>
    <t>ට්‍රේඩ් සීල් 1"  S-LON</t>
  </si>
  <si>
    <t>50mm x 32mm (1 1/2 x 1)   R-ශොකට්  PHOENIX</t>
  </si>
  <si>
    <t>1 ගැන් 1 වේ WIREMAN</t>
  </si>
  <si>
    <t>2 ගැන් 1 වේ WIREMAN</t>
  </si>
  <si>
    <t>3 ගැන් 1 වේ WIREMAN</t>
  </si>
  <si>
    <t>4 ගැන් 1 වේ WIREMAN</t>
  </si>
  <si>
    <t>5 ගැන් 1 වේ WIREMAN</t>
  </si>
  <si>
    <t>13A ශොකට් WIREMAN</t>
  </si>
  <si>
    <t>WIREMAN</t>
  </si>
  <si>
    <t xml:space="preserve">පිටිපස්ස හබ් ඇක්සල් </t>
  </si>
  <si>
    <t xml:space="preserve">ජියර් සෙට් </t>
  </si>
  <si>
    <t xml:space="preserve">රේසර් හබ් පිටිපස්ස  </t>
  </si>
  <si>
    <t xml:space="preserve">ඉස්සරහ හබ් HERO </t>
  </si>
  <si>
    <t>B.B රේසර් හබ්</t>
  </si>
  <si>
    <t xml:space="preserve">පිටිපස්ස  හබ් HERO </t>
  </si>
  <si>
    <t>පිටිපස්ස  හබ් LUMSTAR</t>
  </si>
  <si>
    <t>මවුන්ටන් ඉස්සරහ හබ් NIKKI</t>
  </si>
  <si>
    <t>හැඩල් කප් සෙට් HERO</t>
  </si>
  <si>
    <t>B.B. කප් සෙට් HERO</t>
  </si>
  <si>
    <t>හැඩල් කප් සෙට් MCJ</t>
  </si>
  <si>
    <t>මවුන්ටන් B.B. කප් සෙට් SATUNE</t>
  </si>
  <si>
    <t>B.B. කප් සෙට් නෝමල්</t>
  </si>
  <si>
    <t xml:space="preserve">ඩිස් බ්‍රේක් ආම් ඉස්සරහ </t>
  </si>
  <si>
    <t xml:space="preserve">ඩිස් බ්‍රේක් ආම් පස්ස  </t>
  </si>
  <si>
    <t xml:space="preserve">බ්‍රේක් හැඩල් ලොකු බයිසිකල් </t>
  </si>
  <si>
    <t>ටකරන් කොළ අඩි 6</t>
  </si>
  <si>
    <t>ටකරන් කොළ අඩි 8</t>
  </si>
  <si>
    <t>ටකරන් කොළ අඩි 10</t>
  </si>
  <si>
    <t>ටකරන් කොළ අඩි 12</t>
  </si>
  <si>
    <t>ටකරන් කොළ</t>
  </si>
  <si>
    <t>reser</t>
  </si>
  <si>
    <t>6203 රේසර් koyo</t>
  </si>
  <si>
    <t xml:space="preserve">6202  රේසර් koyo </t>
  </si>
  <si>
    <t>6003 රේසර් NSK</t>
  </si>
  <si>
    <t>6200 රේසර් NSK</t>
  </si>
  <si>
    <t>6302 රේසර් NSK</t>
  </si>
  <si>
    <t>6301 රේසර් NSK</t>
  </si>
  <si>
    <t>6000 රේසර් NSK</t>
  </si>
  <si>
    <t xml:space="preserve">6300 රේසර් KOYO </t>
  </si>
  <si>
    <t>6004 රේසර් NSK</t>
  </si>
  <si>
    <t xml:space="preserve">6003 රේසර් TOPROL </t>
  </si>
  <si>
    <t>6001 රේසර් KOYO</t>
  </si>
  <si>
    <t>6201 රේසර් NSK</t>
  </si>
  <si>
    <t>6303 රේසර් NSK</t>
  </si>
  <si>
    <t xml:space="preserve">6205 රේසර් NSK </t>
  </si>
  <si>
    <t>608 රේසර්</t>
  </si>
  <si>
    <t>629 රේසර්</t>
  </si>
  <si>
    <t>superlux එමල්ෂන් බ්‍රිලියන්ට් වයිට් 4L</t>
  </si>
  <si>
    <t>superlux එමල්ෂන් BUTTER MILK 4L</t>
  </si>
  <si>
    <t>superlux එමල්ෂන් COOL LEMON 4L</t>
  </si>
  <si>
    <t>superlux එමල්ෂන් BLUE BAY 4L</t>
  </si>
  <si>
    <t>superlux එමල්ෂන් MERRY PINK 4L</t>
  </si>
  <si>
    <t>superlux එමල්ෂන් PEACH 4L</t>
  </si>
  <si>
    <t>superlux එමල්ෂන් EMERALD GREEN 4L</t>
  </si>
  <si>
    <t>superlux එමල්ෂන් MINERVA GREY 4L</t>
  </si>
  <si>
    <t>superlux එමල්ෂන් BLUE LAKE 4L</t>
  </si>
  <si>
    <t>superlux එමල්ෂන් FAIRY TALE 4L</t>
  </si>
  <si>
    <t>superlux එමල්ෂන් CELERY 4L</t>
  </si>
  <si>
    <t>superlux එමල්ෂන් MAGNOLIA 4L</t>
  </si>
  <si>
    <t>superlux එමල්ෂන්  4L</t>
  </si>
  <si>
    <t>superlux එමල්ෂන් බ්‍රිලියන්ට් වයිට් 10L</t>
  </si>
  <si>
    <t>SUPERLUX</t>
  </si>
  <si>
    <t>ශොකට් වර්ග Phoenix   104</t>
  </si>
  <si>
    <t>6205 රේසර් KOYO 164</t>
  </si>
  <si>
    <t>රේසර්  164</t>
  </si>
  <si>
    <t>superlux තීන්ත  165</t>
  </si>
  <si>
    <t>ටකරන් කොළ  166</t>
  </si>
  <si>
    <t xml:space="preserve">රේසර් </t>
  </si>
  <si>
    <t xml:space="preserve">13A ෆ්ලග් ටොප් </t>
  </si>
  <si>
    <t xml:space="preserve">5A ෆ්ලග් ටොප් </t>
  </si>
  <si>
    <t xml:space="preserve">15A ෆ්ලග් ටොප් </t>
  </si>
  <si>
    <t>13A ෆ්ලග් ටොප් ORANGE</t>
  </si>
  <si>
    <t>13A ෆ්ලග් ටොප් POLYCROME</t>
  </si>
  <si>
    <t xml:space="preserve">13A  මල්ටි ශොකට් </t>
  </si>
  <si>
    <t xml:space="preserve">5A  මල්ටි ශොකට් </t>
  </si>
  <si>
    <t>13A  මල්ටි ශොකට් NO:1</t>
  </si>
  <si>
    <t>FLUG TOP</t>
  </si>
  <si>
    <t>ෆ්ලග් ටොප්    167</t>
  </si>
  <si>
    <t xml:space="preserve">පෙෂර් මෝටර්   (UTC ) </t>
  </si>
  <si>
    <t>UTC උපාංග</t>
  </si>
  <si>
    <t xml:space="preserve">පෙෂර් මෝටර්   (S-LON ) </t>
  </si>
  <si>
    <t>S-LON උපාංග</t>
  </si>
  <si>
    <t xml:space="preserve">                                                                                                                                                          </t>
  </si>
  <si>
    <t xml:space="preserve">20MM  1/2" ශොකට් </t>
  </si>
  <si>
    <t xml:space="preserve">25MM  3/4" ශොකට්  </t>
  </si>
  <si>
    <t xml:space="preserve">32MM  1" ශොකට් </t>
  </si>
  <si>
    <t xml:space="preserve">40MM  1 1/4" ශොකට්  </t>
  </si>
  <si>
    <t xml:space="preserve">50MM  1 1/2" ශොකට්  </t>
  </si>
  <si>
    <t xml:space="preserve">63MM  2" එල් බෝ 45^  </t>
  </si>
  <si>
    <t xml:space="preserve">50MM  1 1/2" එල් බෝ 45^  </t>
  </si>
  <si>
    <t xml:space="preserve">40MM  1 1/4" එල් බෝ 45^  </t>
  </si>
  <si>
    <t xml:space="preserve">32MM  1"එල් බෝ 45^  </t>
  </si>
  <si>
    <t xml:space="preserve">25MM  3/4"එල් බෝ 45^  </t>
  </si>
  <si>
    <t xml:space="preserve">20MM  1/2"එල් බෝ 45^  </t>
  </si>
  <si>
    <t xml:space="preserve">110MM  4" N-CAP  </t>
  </si>
  <si>
    <t xml:space="preserve">75MM  2 1/2" N-CAP  </t>
  </si>
  <si>
    <t xml:space="preserve">63MM  2" N-CAP </t>
  </si>
  <si>
    <t xml:space="preserve">50MM  1 1/2" N-CAP </t>
  </si>
  <si>
    <t xml:space="preserve">40MM  1 1/4" N-CAP  </t>
  </si>
  <si>
    <t xml:space="preserve">32MM  1"N-CAP </t>
  </si>
  <si>
    <t xml:space="preserve">25MM  3/4"N-CAP  </t>
  </si>
  <si>
    <t>20MM  1/2" N-CAP</t>
  </si>
  <si>
    <t xml:space="preserve">110MM  4" ටී  </t>
  </si>
  <si>
    <t xml:space="preserve">75MM  2 1/2" ටී   </t>
  </si>
  <si>
    <t xml:space="preserve">63MM  2" ටී   </t>
  </si>
  <si>
    <t xml:space="preserve">50MM  1 1/2" ටී   </t>
  </si>
  <si>
    <t xml:space="preserve">40MM  1 1/4" ටී    </t>
  </si>
  <si>
    <t xml:space="preserve">32MM  1"ටී  </t>
  </si>
  <si>
    <t xml:space="preserve">25MM  3/4"ටී  </t>
  </si>
  <si>
    <t xml:space="preserve">20MM  1/2"ටී  </t>
  </si>
  <si>
    <t xml:space="preserve">110MM  4"එල් බෝ  </t>
  </si>
  <si>
    <t xml:space="preserve">75MM  2 1/2"එල් බෝ   </t>
  </si>
  <si>
    <t xml:space="preserve">63MM  2"එල් බෝ  </t>
  </si>
  <si>
    <t xml:space="preserve">50MM  1 1/2"එල් බෝ   </t>
  </si>
  <si>
    <t xml:space="preserve">40MM  1 1/4"එල් බෝ  </t>
  </si>
  <si>
    <t xml:space="preserve">32MM  1"එල් බෝ    </t>
  </si>
  <si>
    <t xml:space="preserve">25MM  3/4"එල් බෝ     </t>
  </si>
  <si>
    <t xml:space="preserve">20MM  1/2"එල් බෝ   </t>
  </si>
  <si>
    <t xml:space="preserve">110MM  4"පෝෂට්  ශොකට් </t>
  </si>
  <si>
    <t xml:space="preserve">75MM  2 1/2"පෝෂට් ශොකට්  </t>
  </si>
  <si>
    <t xml:space="preserve">63MM  2"පෝෂට් ශොකට් </t>
  </si>
  <si>
    <t xml:space="preserve">50MM  1 1/2"පෝෂට් ශොකට්  </t>
  </si>
  <si>
    <t xml:space="preserve">63MM  2" ශොකට්  </t>
  </si>
  <si>
    <t xml:space="preserve">75MM  2 1/2" ශොකට්  </t>
  </si>
  <si>
    <t xml:space="preserve">110MM  4"  ශොකට් </t>
  </si>
  <si>
    <t xml:space="preserve">20MM  1/2" වෑල් ශොකට් </t>
  </si>
  <si>
    <t xml:space="preserve">25MM  3/4" වෑල් ශොකට්  </t>
  </si>
  <si>
    <t xml:space="preserve">32MM  1" වෑල් ශොකට් </t>
  </si>
  <si>
    <t xml:space="preserve">40MM  1 1/4" වෑල් ශොකට්  </t>
  </si>
  <si>
    <t xml:space="preserve">50MM  1 1/2" වෑල් ශොකට් </t>
  </si>
  <si>
    <t xml:space="preserve">63MM  2" වෑල්  ශොකට්  </t>
  </si>
  <si>
    <t xml:space="preserve">75MM  2 1/2" වෑල් ශොකට්  </t>
  </si>
  <si>
    <t xml:space="preserve">110MM  4" වෑල් ශොකට් </t>
  </si>
  <si>
    <t xml:space="preserve">20MM  1/2"පෝෂට් ශොකට්  </t>
  </si>
  <si>
    <t xml:space="preserve">25MM  3/4"පෝෂට් ශොකට් </t>
  </si>
  <si>
    <t xml:space="preserve">32MM  1"පෝෂට් ශොකට්  </t>
  </si>
  <si>
    <t xml:space="preserve">40MM  1 1/4"පෝෂට් ශොකට්  </t>
  </si>
  <si>
    <t>aksal</t>
  </si>
  <si>
    <t>gear set</t>
  </si>
  <si>
    <t>resar hub</t>
  </si>
  <si>
    <t>hub</t>
  </si>
  <si>
    <t>kap set</t>
  </si>
  <si>
    <t>dis break</t>
  </si>
  <si>
    <t>break handle</t>
  </si>
  <si>
    <t>POLYCROME  මල්ටි ශොකට් 13A (3 meters)</t>
  </si>
  <si>
    <t>රෙගියුලේටර් No-02</t>
  </si>
  <si>
    <t xml:space="preserve">රෙගියුලේටර් PLM </t>
  </si>
  <si>
    <t>රෙගියුලේටර් PLM (මීටර්)</t>
  </si>
  <si>
    <t>High Pressure රෙගියුලේටර් (EURO GAS)</t>
  </si>
  <si>
    <t>High Pressure රෙගියුලේටර් PLM</t>
  </si>
  <si>
    <t>High Pressure රෙගියුලේටර් MILUX</t>
  </si>
  <si>
    <t>දැව තෙල්</t>
  </si>
  <si>
    <t>REGULATER</t>
  </si>
  <si>
    <t>රෙගියුලේටර්   168</t>
  </si>
  <si>
    <t>90MM  3 1/2" එල් බෝ  PHOENIX</t>
  </si>
  <si>
    <t>6203 රේසර් NSK</t>
  </si>
  <si>
    <t>වොශින් මැශින් හෝස්</t>
  </si>
  <si>
    <t>ගලි පියන් BLACK</t>
  </si>
  <si>
    <t>සින්ක් වෙස්ට් BLACK</t>
  </si>
  <si>
    <t>Hot water පෙප්සිබල් හෝස්</t>
  </si>
  <si>
    <t xml:space="preserve">7 x 210  හිල්ටි කටු </t>
  </si>
  <si>
    <t xml:space="preserve">6 x 210  හිල්ටි කටු </t>
  </si>
  <si>
    <t xml:space="preserve">7 x 110  හිල්ටි කටු </t>
  </si>
  <si>
    <t xml:space="preserve">6 x 110  හිල්ටි කටු </t>
  </si>
  <si>
    <t xml:space="preserve">8 x 110  හිල්ටි කටු </t>
  </si>
  <si>
    <t xml:space="preserve">10 x 110  හිල්ටි කටු </t>
  </si>
  <si>
    <t xml:space="preserve">10 x 210  හිල්ටි කටු </t>
  </si>
  <si>
    <t xml:space="preserve">11 x 110  හිල්ටි කටු </t>
  </si>
  <si>
    <t xml:space="preserve">11 x 210  හිල්ටි කටු </t>
  </si>
  <si>
    <t xml:space="preserve">12 x 210  හිල්ටි කටු </t>
  </si>
  <si>
    <t xml:space="preserve">13 x 110  හිල්ටි කටු </t>
  </si>
  <si>
    <t xml:space="preserve">13 x 210  හිල්ටි කටු </t>
  </si>
  <si>
    <t xml:space="preserve">15 x 110  හිල්ටි කටු </t>
  </si>
  <si>
    <t xml:space="preserve">15 x 210  හිල්ටි කටු </t>
  </si>
  <si>
    <t xml:space="preserve">16 x 210  හිල්ටි කටු </t>
  </si>
  <si>
    <t xml:space="preserve">17 x 110  හිල්ටි කටු </t>
  </si>
  <si>
    <t xml:space="preserve">17 x 210  හිල්ටි කටු </t>
  </si>
  <si>
    <t xml:space="preserve">18 x 110  හිල්ටි කටු </t>
  </si>
  <si>
    <t xml:space="preserve">18 x 210  හිල්ටි කටු </t>
  </si>
  <si>
    <t xml:space="preserve">19 x 110  හිල්ටි කටු </t>
  </si>
  <si>
    <t xml:space="preserve">19 x 210  හිල්ටි කටු </t>
  </si>
  <si>
    <t xml:space="preserve">20 x 210  හිල්ටි කටු </t>
  </si>
  <si>
    <t xml:space="preserve">21 x 110  හිල්ටි කටු </t>
  </si>
  <si>
    <t xml:space="preserve">21 x 210  හිල්ටි කටු </t>
  </si>
  <si>
    <t>8 x 210  හිල්ටි කටු (s-lon)</t>
  </si>
  <si>
    <t xml:space="preserve">12 x 260  හිල්ටි කටු </t>
  </si>
  <si>
    <t>14 x 250  හිල්ටි කටු (උල් කටු)</t>
  </si>
  <si>
    <t xml:space="preserve">14 x 250  හිල්ටි කටු (ප්ලැට් කටු) </t>
  </si>
  <si>
    <t xml:space="preserve">16 x 310  හිල්ටි කටු </t>
  </si>
  <si>
    <t xml:space="preserve">20 x 400  හිල්ටි කටු </t>
  </si>
  <si>
    <t xml:space="preserve">22 x 460  හිල්ටි කටු </t>
  </si>
  <si>
    <t>HILTI KATU</t>
  </si>
  <si>
    <t>හිල්ටි කටු     169</t>
  </si>
  <si>
    <t xml:space="preserve">4 1/2 " EVEREST කප් විල් </t>
  </si>
  <si>
    <t>500g අඩු මිටි  තැඹිලි පාට</t>
  </si>
  <si>
    <t>මුදුන් උලු</t>
  </si>
  <si>
    <t>ulu</t>
  </si>
  <si>
    <t>blade</t>
  </si>
  <si>
    <t>තණකොළ උපකරණ     170</t>
  </si>
  <si>
    <t xml:space="preserve">160MM  6"එල් බෝ  </t>
  </si>
  <si>
    <t xml:space="preserve">160MM  6" N-CAP  </t>
  </si>
  <si>
    <t>PVC ITEM</t>
  </si>
  <si>
    <t xml:space="preserve">90MM  3 1/2" එල් බෝ  </t>
  </si>
  <si>
    <t xml:space="preserve">90MM  3 1/2"  ශොකට්  </t>
  </si>
  <si>
    <t xml:space="preserve">90MM  3 1/2" වෑල් ශොකට්  </t>
  </si>
  <si>
    <t xml:space="preserve">90MM  3 1/2" පෝෂට් ශොකට් </t>
  </si>
  <si>
    <t xml:space="preserve">90MM  3 1/2" ටී   </t>
  </si>
  <si>
    <t xml:space="preserve">90MM  3 1/2" N-CAP  </t>
  </si>
  <si>
    <t xml:space="preserve">90MM  3 1/2" එල් බෝ 45^ </t>
  </si>
  <si>
    <t>25mm නියන්  1"  ABC</t>
  </si>
  <si>
    <t>පිත්තල උල් ඇණ</t>
  </si>
  <si>
    <t>ORANGE ටූ කෝර් වයර්(සුදු )  [16/0.2]</t>
  </si>
  <si>
    <t>ORANGE ටූ කෝර් වයර්(කළු )  [16/0.2]</t>
  </si>
  <si>
    <t>ORANGE අ(ර්)ත් වයර් (ලොකු)  [7/0.85]</t>
  </si>
  <si>
    <t>ORANGE ත්‍රී කෝර් වයර්  (කළු)  [30/0.25]</t>
  </si>
  <si>
    <t>ORANGE ත්‍රී කෝර් වයර්  (සුදු)  [30/0.25]</t>
  </si>
  <si>
    <t>ORANGE මේන් වයර්    [7/1.04]</t>
  </si>
  <si>
    <t>wire</t>
  </si>
  <si>
    <t>වයර් යාර      172</t>
  </si>
  <si>
    <t>කැළණි වයර්     173</t>
  </si>
  <si>
    <t>සියෙරා වයර්     174</t>
  </si>
  <si>
    <t>ORANGE වයර්      175</t>
  </si>
  <si>
    <t>wire code</t>
  </si>
  <si>
    <t>වයර් කෝඩ්      162</t>
  </si>
  <si>
    <t>break nut</t>
  </si>
  <si>
    <t>kons nut</t>
  </si>
  <si>
    <t>ajesment</t>
  </si>
  <si>
    <t>aksal nut</t>
  </si>
  <si>
    <t>cutter pin</t>
  </si>
  <si>
    <t>mudguard</t>
  </si>
  <si>
    <t>nut</t>
  </si>
  <si>
    <t>ispok</t>
  </si>
  <si>
    <t>gure weel</t>
  </si>
  <si>
    <t>wal</t>
  </si>
  <si>
    <t>chein lock</t>
  </si>
  <si>
    <t>dis pad</t>
  </si>
  <si>
    <t>stand</t>
  </si>
  <si>
    <t>dis weel</t>
  </si>
  <si>
    <t>hn</t>
  </si>
  <si>
    <t>spoke</t>
  </si>
  <si>
    <t>sprin</t>
  </si>
  <si>
    <t>බයිසිකල් බඩු      176</t>
  </si>
  <si>
    <t>comad</t>
  </si>
  <si>
    <t>කොමඩ් පියන්</t>
  </si>
  <si>
    <t>BATHROOM ITEMS</t>
  </si>
  <si>
    <t xml:space="preserve">3 x 2 මෙල්වා සරනේරුවක් </t>
  </si>
  <si>
    <t xml:space="preserve">4 x 2 මෙල්වා සරනේරුවක් </t>
  </si>
  <si>
    <t xml:space="preserve">4 x 2 1/2 මෙල්වා සරනේරුවක් </t>
  </si>
  <si>
    <t xml:space="preserve">4 x 3 මෙල්වා සරනේරුවක් </t>
  </si>
  <si>
    <t xml:space="preserve">4 x 4 මෙල්වා සරනේරුවක් </t>
  </si>
  <si>
    <t xml:space="preserve">5 x 2 1/2 මෙල්වා සරනේරුවක් </t>
  </si>
  <si>
    <t xml:space="preserve">5 x 3 මෙල්වා සරනේරුවක් </t>
  </si>
  <si>
    <t>5 x 4 මෙල්වා සරනේරුවක්</t>
  </si>
  <si>
    <t xml:space="preserve">5 x 5 මෙල්වා සරනේරුවක් </t>
  </si>
  <si>
    <t xml:space="preserve">6 x 2 1/2 මෙල්වා සරනේරුවක් </t>
  </si>
  <si>
    <t xml:space="preserve">6 x 3 මෙල්වා සරනේරුවක් </t>
  </si>
  <si>
    <t xml:space="preserve">6 x 4 මෙල්වා සරනේරුවක් </t>
  </si>
  <si>
    <t xml:space="preserve">6 x 5 මෙල්වා සරනේරුවක් </t>
  </si>
  <si>
    <t xml:space="preserve">6 x 6 මෙල්වා සරනේරුවක් </t>
  </si>
  <si>
    <t xml:space="preserve">3 x 2 ලංකා සරනේරුවක් </t>
  </si>
  <si>
    <t>4 x 2 ලංකා සරනේරුවක්</t>
  </si>
  <si>
    <t xml:space="preserve">4 x 2 1/2 ලංකා සරනේරුවක් </t>
  </si>
  <si>
    <t>4 x 3 ලංකා සරනේරුවක්</t>
  </si>
  <si>
    <t>4 x 4 ලංකා සරනේරුවක්</t>
  </si>
  <si>
    <t>5 x 2 1/2 ලංකා සරනේරුවක්</t>
  </si>
  <si>
    <t xml:space="preserve">5 x 3 ලංකා සරනේරුවක් </t>
  </si>
  <si>
    <t>5 x 4 ලංකා සරනේරුවක්</t>
  </si>
  <si>
    <t xml:space="preserve">5 x 5 ලංකා සරනේරුවක් </t>
  </si>
  <si>
    <t>6 x 2 1/2 ලංකා සරනේරුවක්</t>
  </si>
  <si>
    <t>6 x 3 ලංකා සරනේරුවක්</t>
  </si>
  <si>
    <t>6 x 4 ලංකා සරනේරුවක්</t>
  </si>
  <si>
    <t>6 x 5 ලංකා සරනේරුවක්</t>
  </si>
  <si>
    <t>6 x 6 ලංකා සරනේරුවක්</t>
  </si>
  <si>
    <t>4 x 2 1/2 කොපර් (රේසර් )සරනේරුවක්</t>
  </si>
  <si>
    <t>5 x 3 කොපර් (රේසර් ) සරනේරුවක්</t>
  </si>
  <si>
    <t>4 x 2 1/2 කොපර් සරනේරුවක්</t>
  </si>
  <si>
    <t>1/2 x 1/2  G.I.  කුකුල් දැල් ( 23g 3x30m )</t>
  </si>
  <si>
    <t>1/2 x 1/2  G.I.  කුකුල් දැල් ( 24g 3x30m )</t>
  </si>
  <si>
    <t>1/2 x 1/2  G.I.  කුකුල් දැල් ( 22g 3x30m )</t>
  </si>
  <si>
    <t>1/2 x 1/2 PVC කොටු දැල් ( 20g 1x 15m )</t>
  </si>
  <si>
    <t>1/2 x 1/2 PVC කොටු දැල් ( 22g 1x 15m )</t>
  </si>
  <si>
    <t>2 x 1 PVC කොටු දැල් ( 20g 1x 15m )</t>
  </si>
  <si>
    <t>3/4 x 3/4 PVC කොටු දැල් ( 18g 1x 15m )</t>
  </si>
  <si>
    <t>1 x 1 PVC කොටු දැල් ( 18g 1x 15m )</t>
  </si>
  <si>
    <t>3 x 1 PVC කොටු දැල් ( 22g 1x 15m )</t>
  </si>
  <si>
    <t>1 1/2 x 1 1/2 PVC කොටු දැල් ( 14g 1x 15m )</t>
  </si>
  <si>
    <t>2 x 2 PVC කොටු දැල් ( 14g 1x 15m )</t>
  </si>
  <si>
    <t>2 x 2 PVC කොටු දැල් ( 10g 7 x 12 )</t>
  </si>
  <si>
    <t>4 x 20  රයිසි දැල්</t>
  </si>
  <si>
    <t>6 x 20  රයිසි දැල්</t>
  </si>
  <si>
    <t>6 x 22  රයිසි දැල්</t>
  </si>
  <si>
    <t>8 x 22  රයිසි දැල්</t>
  </si>
  <si>
    <t>10 x 22  රයිසි දැල්</t>
  </si>
  <si>
    <t>අමානු දොර</t>
  </si>
  <si>
    <t>K DAL</t>
  </si>
  <si>
    <t>KOTU D.</t>
  </si>
  <si>
    <t>R DAL</t>
  </si>
  <si>
    <t>AMANO</t>
  </si>
  <si>
    <t>මැස්කන් දැල ( s-lon)  අඩි 3</t>
  </si>
  <si>
    <t>මැස්කන් දැල ( s-lon)  අඩි 4</t>
  </si>
  <si>
    <t>මැස්කන් දැල ( s-lon)  අඩි 5</t>
  </si>
  <si>
    <t>මැස්කන් දැල ( s-lon)  අඩි 6</t>
  </si>
  <si>
    <t>මැස්මාට් දැල අඩි 3</t>
  </si>
  <si>
    <t>මැස්මාට් දැල අඩි 4</t>
  </si>
  <si>
    <t>මැස්මාට් දැල අඩි 5</t>
  </si>
  <si>
    <t>මැස්මාට් දැල අඩි 6</t>
  </si>
  <si>
    <t>dal</t>
  </si>
  <si>
    <t>මැස්මාට් දැල අඩි 4   G.i.</t>
  </si>
  <si>
    <t xml:space="preserve">1 1/2  ඇලුමිනියම් කොල අඩියක් </t>
  </si>
  <si>
    <t xml:space="preserve">2 1/2  ඇලුමිනියම් කොල අඩියක් </t>
  </si>
  <si>
    <t xml:space="preserve">2  ඇලුමිනියම් කොල අඩියක් </t>
  </si>
  <si>
    <t xml:space="preserve">3  ඇලුමිනියම් කොල අඩියක් </t>
  </si>
  <si>
    <t>මෝල්ඩින් පටි  1</t>
  </si>
  <si>
    <t>මෝල්ඩින් පටි  1 1/2</t>
  </si>
  <si>
    <t>බීඩිං පටි  1 1/2</t>
  </si>
  <si>
    <t>වීදුරු පටි</t>
  </si>
  <si>
    <t>ලැටිස් පටි</t>
  </si>
  <si>
    <t>4  අමානෝ සීට් අඩියක්  blue</t>
  </si>
  <si>
    <t>3  අමානෝ සීට් අඩියක්  blue</t>
  </si>
  <si>
    <t>2 1/2  අමානෝ සීට් අඩියක්  blue</t>
  </si>
  <si>
    <t>2  අමානෝ සීට් අඩියක්  blue</t>
  </si>
  <si>
    <t>1 1/2  අමානෝ සීට් අඩියක්  blue</t>
  </si>
  <si>
    <t>1  අමානෝ සීට් අඩියක්  blue</t>
  </si>
  <si>
    <t>4  අමානෝ සීට් ඝන  අඩියක්  red</t>
  </si>
  <si>
    <t>3  අමානෝ සීට් ඝන අඩියක්  red</t>
  </si>
  <si>
    <t>2 1/2  අමානෝ සීට් ඝන  අඩියක්  red</t>
  </si>
  <si>
    <t>2  අමානෝ සීට් ඝන අඩියක්  red</t>
  </si>
  <si>
    <t>1 1/2  අමානෝ සීට් ඝන අඩියක්  red</t>
  </si>
  <si>
    <t>1  අමානෝ සීට් ඝන අඩියක්  red</t>
  </si>
  <si>
    <t>ලී N cap</t>
  </si>
  <si>
    <t>ලී බ්‍රැකට්</t>
  </si>
  <si>
    <t>කර්ටන් බාර් ලී අඩියක්</t>
  </si>
  <si>
    <t>ඇලුමිනියම් N cap</t>
  </si>
  <si>
    <t>ඇලුමිනියම් බ්‍රැකට්</t>
  </si>
  <si>
    <t>කර්ටන් බාර් ඇලුමිනියම් අඩි 12</t>
  </si>
  <si>
    <t>රේසර්</t>
  </si>
  <si>
    <t>කොකු</t>
  </si>
  <si>
    <t>amano</t>
  </si>
  <si>
    <t>aluminiyam</t>
  </si>
  <si>
    <t>kartan</t>
  </si>
  <si>
    <t>දැල් වර්ග   177</t>
  </si>
  <si>
    <t>එයාපෝට් දැල් වර්ග  178</t>
  </si>
  <si>
    <t>අමානෝ සීට් වර්ග  179</t>
  </si>
  <si>
    <t>කර්ටන් බාර්    180</t>
  </si>
  <si>
    <t>Spray Paint</t>
  </si>
  <si>
    <t>maskin</t>
  </si>
  <si>
    <t>මාස්කින් ටේප් 2" ජම්බො</t>
  </si>
  <si>
    <t>මාස්කින් ටේප් 1" ජම්බො</t>
  </si>
  <si>
    <t>මාස්කින් ටේප් 2" අඩු</t>
  </si>
  <si>
    <t>මාස්කින් ටේප් 1" අඩු</t>
  </si>
  <si>
    <t xml:space="preserve">මාස්කින් ටේප් NIPPON </t>
  </si>
  <si>
    <t>මාස්කින් ටේප් කොළ පාට</t>
  </si>
  <si>
    <t>clear ටේප් 2"</t>
  </si>
  <si>
    <t>පැකින් ටේප්</t>
  </si>
  <si>
    <t>පැකින් ටේප් අඩු</t>
  </si>
  <si>
    <t>බයින්ඩින් ටේප් U.T.C</t>
  </si>
  <si>
    <t>බයින්ඩින් ටේප් MEN</t>
  </si>
  <si>
    <t>SH 1/2</t>
  </si>
  <si>
    <t>SH 3/4</t>
  </si>
  <si>
    <t>SH 1</t>
  </si>
  <si>
    <t>SH 11/4</t>
  </si>
  <si>
    <t>SH 11/2</t>
  </si>
  <si>
    <t>SH 2</t>
  </si>
  <si>
    <t>SH 2 1/2</t>
  </si>
  <si>
    <t>SH 3</t>
  </si>
  <si>
    <t>SH 4</t>
  </si>
  <si>
    <t>VS 1/2</t>
  </si>
  <si>
    <t>VS 3/4</t>
  </si>
  <si>
    <t>VS 1</t>
  </si>
  <si>
    <t>VS 11/4</t>
  </si>
  <si>
    <t>VS 11/2</t>
  </si>
  <si>
    <t>VS 2</t>
  </si>
  <si>
    <t>VS 21/2</t>
  </si>
  <si>
    <t>VS 3</t>
  </si>
  <si>
    <t>VS 4</t>
  </si>
  <si>
    <t>PS 1/2</t>
  </si>
  <si>
    <t>PS 3/4</t>
  </si>
  <si>
    <t>PS 1</t>
  </si>
  <si>
    <t>PS 11/4</t>
  </si>
  <si>
    <t>PS 11/2</t>
  </si>
  <si>
    <t>PS 2</t>
  </si>
  <si>
    <t>PS 21/2</t>
  </si>
  <si>
    <t>PS 3</t>
  </si>
  <si>
    <t>PS 4</t>
  </si>
  <si>
    <t>WIREMAN                                  96</t>
  </si>
  <si>
    <t>පෑන් කොන්ට්‍රොල් WIREMAN</t>
  </si>
  <si>
    <t>මොටර් ස්විට්ච් Wireman</t>
  </si>
  <si>
    <t xml:space="preserve">WIREMAN                              </t>
  </si>
  <si>
    <t xml:space="preserve">WIREMAN                                 </t>
  </si>
  <si>
    <t>13A ‍‍යුනිවසල් ප්ලග්</t>
  </si>
  <si>
    <t xml:space="preserve">15A ෆ්ලග් </t>
  </si>
  <si>
    <t>13A ෆ්ලග් ටොප්  KEVILTON</t>
  </si>
  <si>
    <t>ෆ්ලග් ටොප්                       167</t>
  </si>
  <si>
    <t>CG HOLDER</t>
  </si>
  <si>
    <t xml:space="preserve">සුදු  හෝල්ඩර NO 3  </t>
  </si>
  <si>
    <t>සුදු  හෝල්ඩර  NO 2</t>
  </si>
  <si>
    <t>කළු   හෝල්ඩර NO 2</t>
  </si>
  <si>
    <t>සිවිලිම් රෝස් (වට්ටක්කා මල)</t>
  </si>
  <si>
    <t>ඈන්ගල් හෝල්ඩර NO 2</t>
  </si>
  <si>
    <t>බැටන් හෝල්ඩර NO 2</t>
  </si>
  <si>
    <t xml:space="preserve">රවුම් බ්ලොක් NO 2 </t>
  </si>
  <si>
    <t>සිවිලිම් රෝස් NO 2</t>
  </si>
  <si>
    <t>සිවිලිම් රෝස් කලු Polycrome</t>
  </si>
  <si>
    <t>SIWILIN</t>
  </si>
  <si>
    <t>GAINDAR</t>
  </si>
  <si>
    <t>PAWASO</t>
  </si>
  <si>
    <t>RAUTAR MESHIN</t>
  </si>
  <si>
    <t>SENDAR</t>
  </si>
  <si>
    <t>JIPSO MASHIN</t>
  </si>
  <si>
    <t>PHOTI MIKSAR</t>
  </si>
  <si>
    <t>WELDIN PANT</t>
  </si>
  <si>
    <t>HAI PESHAR GAN</t>
  </si>
  <si>
    <t>PESHAR MOTAR</t>
  </si>
  <si>
    <t>WATHURA MOTAR</t>
  </si>
  <si>
    <t>හොස්පවර් 1/2 වතුර මොටර් (DUBHE)</t>
  </si>
  <si>
    <t>SIGMA</t>
  </si>
  <si>
    <t>SINK TAP</t>
  </si>
  <si>
    <t>නොමල් සින්ක් ටැප් PLM</t>
  </si>
  <si>
    <t>සින්ක් ටැප්</t>
  </si>
  <si>
    <t>නොමල් ටැප් PLM</t>
  </si>
  <si>
    <t>ටැප්</t>
  </si>
  <si>
    <t>ගාඩන් ටැප් PLM</t>
  </si>
  <si>
    <t>මාස්කින් ටේප් 182</t>
  </si>
  <si>
    <t>TEP                                             182</t>
  </si>
  <si>
    <t>MASKIN TEP</t>
  </si>
  <si>
    <t>CLEAR TEP</t>
  </si>
  <si>
    <t>PEKIN TEP</t>
  </si>
  <si>
    <t>BAIDIN 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</si>
</sst>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570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2" borderId="0" applyNumberFormat="0" applyBorder="0" applyAlignment="0" applyProtection="0"/>
    <xf numFmtId="0" fontId="8" fillId="3" borderId="0" applyNumberFormat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9" fillId="0" borderId="0" xfId="0" applyFont="1"/>
    <xf numFmtId="0" fontId="8" fillId="3" borderId="0" xfId="2"/>
    <xf numFmtId="0" fontId="10" fillId="0" borderId="0" xfId="0" applyFont="1"/>
    <xf numFmtId="0" fontId="11" fillId="3" borderId="0" xfId="2" applyFont="1"/>
    <xf numFmtId="0" fontId="12" fillId="0" borderId="0" xfId="0" applyFont="1"/>
    <xf numFmtId="0" fontId="13" fillId="2" borderId="0" xfId="1" applyFont="1"/>
    <xf numFmtId="0" fontId="14" fillId="3" borderId="0" xfId="2" applyFont="1"/>
    <xf numFmtId="0" fontId="7" fillId="2" borderId="0" xfId="1"/>
    <xf numFmtId="16" fontId="3" fillId="0" borderId="0" xfId="0" applyNumberFormat="1" applyFont="1"/>
    <xf numFmtId="0" fontId="3" fillId="0" borderId="0" xfId="0" applyFont="1" applyAlignment="1">
      <alignment wrapText="1"/>
    </xf>
    <xf numFmtId="12" fontId="3" fillId="0" borderId="0" xfId="0" applyNumberFormat="1" applyFont="1"/>
    <xf numFmtId="0" fontId="10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17" fillId="0" borderId="0" xfId="0" applyFont="1"/>
    <xf numFmtId="0" fontId="7" fillId="4" borderId="0" xfId="1" applyFill="1"/>
    <xf numFmtId="0" fontId="12" fillId="4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12" fillId="5" borderId="0" xfId="0" applyFont="1" applyFill="1"/>
    <xf numFmtId="0" fontId="8" fillId="4" borderId="0" xfId="2" applyFill="1"/>
    <xf numFmtId="0" fontId="0" fillId="5" borderId="0" xfId="0" applyFill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46"/>
  <sheetViews>
    <sheetView tabSelected="1" topLeftCell="A343" zoomScaleNormal="100" workbookViewId="0">
      <selection activeCell="J9" sqref="J9"/>
    </sheetView>
  </sheetViews>
  <sheetFormatPr defaultRowHeight="15" x14ac:dyDescent="0.25"/>
  <cols>
    <col min="1" max="1" width="10.7109375" style="10" customWidth="1"/>
    <col min="2" max="2" width="21" customWidth="1"/>
    <col min="3" max="3" width="43.140625" style="1" customWidth="1"/>
    <col min="4" max="4" width="26.85546875" style="1" customWidth="1"/>
    <col min="5" max="5" width="17.42578125" customWidth="1"/>
    <col min="6" max="6" width="20.7109375" customWidth="1"/>
    <col min="7" max="8" width="19.85546875" customWidth="1"/>
  </cols>
  <sheetData>
    <row r="1" spans="1:8" s="1" customFormat="1" x14ac:dyDescent="0.25">
      <c r="A1" s="8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60</v>
      </c>
      <c r="H1" s="1" t="s">
        <v>5</v>
      </c>
    </row>
    <row r="2" spans="1:8" x14ac:dyDescent="0.25">
      <c r="A2" s="10">
        <v>2</v>
      </c>
      <c r="B2" t="s">
        <v>61</v>
      </c>
      <c r="C2" s="2" t="s">
        <v>55</v>
      </c>
      <c r="D2" s="1" t="s">
        <v>54</v>
      </c>
      <c r="E2">
        <v>781</v>
      </c>
      <c r="F2">
        <f>SUM(G2-20)</f>
        <v>930</v>
      </c>
      <c r="G2">
        <v>950</v>
      </c>
      <c r="H2">
        <f>SUM(G2+20)</f>
        <v>970</v>
      </c>
    </row>
    <row r="3" spans="1:8" x14ac:dyDescent="0.25">
      <c r="A3" s="10">
        <v>3</v>
      </c>
      <c r="B3" t="s">
        <v>61</v>
      </c>
      <c r="C3" s="3" t="s">
        <v>7</v>
      </c>
      <c r="D3" s="1" t="s">
        <v>54</v>
      </c>
      <c r="E3">
        <v>958</v>
      </c>
      <c r="F3">
        <f t="shared" ref="F3:F52" si="0">SUM(G3-20)</f>
        <v>1080</v>
      </c>
      <c r="G3">
        <v>1100</v>
      </c>
      <c r="H3">
        <f>SUM(G3+20)</f>
        <v>1120</v>
      </c>
    </row>
    <row r="4" spans="1:8" x14ac:dyDescent="0.25">
      <c r="A4" s="10">
        <v>4</v>
      </c>
      <c r="B4" t="s">
        <v>61</v>
      </c>
      <c r="C4" s="2" t="s">
        <v>56</v>
      </c>
      <c r="D4" s="1" t="s">
        <v>54</v>
      </c>
      <c r="E4">
        <v>1071</v>
      </c>
      <c r="F4">
        <f t="shared" si="0"/>
        <v>1230</v>
      </c>
      <c r="G4">
        <v>1250</v>
      </c>
      <c r="H4">
        <f t="shared" ref="H4:H52" si="1">SUM(G4+20)</f>
        <v>1270</v>
      </c>
    </row>
    <row r="5" spans="1:8" x14ac:dyDescent="0.25">
      <c r="A5" s="10">
        <v>5</v>
      </c>
      <c r="B5" t="s">
        <v>61</v>
      </c>
      <c r="C5" s="2" t="s">
        <v>8</v>
      </c>
      <c r="D5" s="1" t="s">
        <v>54</v>
      </c>
      <c r="E5">
        <v>1180</v>
      </c>
      <c r="F5">
        <f t="shared" si="0"/>
        <v>1360</v>
      </c>
      <c r="G5">
        <v>1380</v>
      </c>
      <c r="H5">
        <f t="shared" si="1"/>
        <v>1400</v>
      </c>
    </row>
    <row r="6" spans="1:8" x14ac:dyDescent="0.25">
      <c r="A6" s="10">
        <v>6</v>
      </c>
      <c r="B6" t="s">
        <v>61</v>
      </c>
      <c r="C6" s="2" t="s">
        <v>9</v>
      </c>
      <c r="D6" s="1" t="s">
        <v>54</v>
      </c>
      <c r="E6">
        <v>1350</v>
      </c>
      <c r="F6">
        <f t="shared" si="0"/>
        <v>1480</v>
      </c>
      <c r="G6">
        <v>1500</v>
      </c>
      <c r="H6">
        <f t="shared" si="1"/>
        <v>1520</v>
      </c>
    </row>
    <row r="7" spans="1:8" x14ac:dyDescent="0.25">
      <c r="A7" s="10">
        <v>7</v>
      </c>
      <c r="B7" t="s">
        <v>61</v>
      </c>
      <c r="C7" s="2" t="s">
        <v>10</v>
      </c>
      <c r="D7" s="1" t="s">
        <v>54</v>
      </c>
      <c r="E7">
        <v>1833</v>
      </c>
      <c r="F7">
        <f t="shared" si="0"/>
        <v>1930</v>
      </c>
      <c r="G7">
        <v>1950</v>
      </c>
      <c r="H7">
        <f t="shared" si="1"/>
        <v>1970</v>
      </c>
    </row>
    <row r="8" spans="1:8" x14ac:dyDescent="0.25">
      <c r="A8" s="10">
        <v>8</v>
      </c>
      <c r="B8" t="s">
        <v>62</v>
      </c>
      <c r="C8" s="2" t="s">
        <v>11</v>
      </c>
      <c r="D8" s="1" t="s">
        <v>54</v>
      </c>
      <c r="E8">
        <v>1071</v>
      </c>
      <c r="F8">
        <f t="shared" si="0"/>
        <v>1130</v>
      </c>
      <c r="G8">
        <v>1150</v>
      </c>
      <c r="H8">
        <f t="shared" si="1"/>
        <v>1170</v>
      </c>
    </row>
    <row r="9" spans="1:8" x14ac:dyDescent="0.25">
      <c r="A9" s="10">
        <v>9</v>
      </c>
      <c r="B9" t="s">
        <v>62</v>
      </c>
      <c r="C9" s="2" t="s">
        <v>12</v>
      </c>
      <c r="D9" s="1" t="s">
        <v>54</v>
      </c>
      <c r="E9">
        <v>1297</v>
      </c>
      <c r="F9">
        <f t="shared" si="0"/>
        <v>1430</v>
      </c>
      <c r="G9">
        <v>1450</v>
      </c>
      <c r="H9">
        <f t="shared" si="1"/>
        <v>1470</v>
      </c>
    </row>
    <row r="10" spans="1:8" x14ac:dyDescent="0.25">
      <c r="A10" s="10">
        <v>10</v>
      </c>
      <c r="B10" t="s">
        <v>62</v>
      </c>
      <c r="C10" s="2" t="s">
        <v>13</v>
      </c>
      <c r="D10" s="1" t="s">
        <v>54</v>
      </c>
      <c r="E10">
        <v>1410</v>
      </c>
      <c r="F10">
        <f t="shared" si="0"/>
        <v>1580</v>
      </c>
      <c r="G10">
        <v>1600</v>
      </c>
      <c r="H10">
        <f t="shared" si="1"/>
        <v>1620</v>
      </c>
    </row>
    <row r="11" spans="1:8" x14ac:dyDescent="0.25">
      <c r="A11" s="10">
        <v>11</v>
      </c>
      <c r="B11" t="s">
        <v>62</v>
      </c>
      <c r="C11" s="2" t="s">
        <v>14</v>
      </c>
      <c r="D11" s="1" t="s">
        <v>54</v>
      </c>
      <c r="E11">
        <v>1635</v>
      </c>
      <c r="F11">
        <f t="shared" si="0"/>
        <v>1830</v>
      </c>
      <c r="G11">
        <v>1850</v>
      </c>
      <c r="H11">
        <f t="shared" si="1"/>
        <v>1870</v>
      </c>
    </row>
    <row r="12" spans="1:8" x14ac:dyDescent="0.25">
      <c r="A12" s="10">
        <v>12</v>
      </c>
      <c r="B12" t="s">
        <v>62</v>
      </c>
      <c r="C12" s="2" t="s">
        <v>15</v>
      </c>
      <c r="D12" s="1" t="s">
        <v>54</v>
      </c>
      <c r="E12">
        <v>1889</v>
      </c>
      <c r="F12">
        <f t="shared" si="0"/>
        <v>2080</v>
      </c>
      <c r="G12">
        <v>2100</v>
      </c>
      <c r="H12">
        <f t="shared" si="1"/>
        <v>2120</v>
      </c>
    </row>
    <row r="13" spans="1:8" x14ac:dyDescent="0.25">
      <c r="A13" s="10">
        <v>13</v>
      </c>
      <c r="B13" t="s">
        <v>62</v>
      </c>
      <c r="C13" s="2" t="s">
        <v>16</v>
      </c>
      <c r="D13" s="1" t="s">
        <v>54</v>
      </c>
      <c r="E13">
        <v>2312</v>
      </c>
      <c r="F13">
        <f t="shared" si="0"/>
        <v>2460</v>
      </c>
      <c r="G13">
        <v>2480</v>
      </c>
      <c r="H13">
        <f t="shared" si="1"/>
        <v>2500</v>
      </c>
    </row>
    <row r="14" spans="1:8" x14ac:dyDescent="0.25">
      <c r="A14" s="10">
        <v>14</v>
      </c>
      <c r="B14" t="s">
        <v>63</v>
      </c>
      <c r="C14" s="2" t="s">
        <v>17</v>
      </c>
      <c r="D14" s="1" t="s">
        <v>54</v>
      </c>
      <c r="E14" t="s">
        <v>57</v>
      </c>
      <c r="F14" t="s">
        <v>59</v>
      </c>
      <c r="G14" t="s">
        <v>59</v>
      </c>
      <c r="H14" t="s">
        <v>178</v>
      </c>
    </row>
    <row r="15" spans="1:8" x14ac:dyDescent="0.25">
      <c r="A15" s="10">
        <v>15</v>
      </c>
      <c r="B15" t="s">
        <v>63</v>
      </c>
      <c r="C15" s="2" t="s">
        <v>18</v>
      </c>
      <c r="D15" s="1" t="s">
        <v>54</v>
      </c>
      <c r="E15">
        <v>1947</v>
      </c>
      <c r="F15">
        <f t="shared" si="0"/>
        <v>2080</v>
      </c>
      <c r="G15">
        <v>2100</v>
      </c>
      <c r="H15">
        <f t="shared" si="1"/>
        <v>2120</v>
      </c>
    </row>
    <row r="16" spans="1:8" x14ac:dyDescent="0.25">
      <c r="A16" s="10">
        <v>16</v>
      </c>
      <c r="B16" t="s">
        <v>63</v>
      </c>
      <c r="C16" s="2" t="s">
        <v>19</v>
      </c>
      <c r="D16" s="1" t="s">
        <v>54</v>
      </c>
      <c r="E16">
        <v>2115</v>
      </c>
      <c r="F16">
        <f t="shared" si="0"/>
        <v>2330</v>
      </c>
      <c r="G16">
        <v>2350</v>
      </c>
      <c r="H16">
        <f t="shared" si="1"/>
        <v>2370</v>
      </c>
    </row>
    <row r="17" spans="1:8" x14ac:dyDescent="0.25">
      <c r="A17" s="10">
        <v>17</v>
      </c>
      <c r="B17" t="s">
        <v>63</v>
      </c>
      <c r="C17" s="2" t="s">
        <v>20</v>
      </c>
      <c r="D17" s="1" t="s">
        <v>54</v>
      </c>
      <c r="E17">
        <v>2481</v>
      </c>
      <c r="F17">
        <f t="shared" si="0"/>
        <v>2730</v>
      </c>
      <c r="G17">
        <v>2750</v>
      </c>
      <c r="H17">
        <f t="shared" si="1"/>
        <v>2770</v>
      </c>
    </row>
    <row r="18" spans="1:8" x14ac:dyDescent="0.25">
      <c r="A18" s="10">
        <v>18</v>
      </c>
      <c r="B18" t="s">
        <v>63</v>
      </c>
      <c r="C18" s="2" t="s">
        <v>21</v>
      </c>
      <c r="D18" s="1" t="s">
        <v>54</v>
      </c>
      <c r="E18">
        <v>2932</v>
      </c>
      <c r="F18">
        <f t="shared" si="0"/>
        <v>3180</v>
      </c>
      <c r="G18">
        <v>3200</v>
      </c>
      <c r="H18">
        <f t="shared" si="1"/>
        <v>3220</v>
      </c>
    </row>
    <row r="19" spans="1:8" x14ac:dyDescent="0.25">
      <c r="A19" s="10">
        <v>19</v>
      </c>
      <c r="B19" t="s">
        <v>63</v>
      </c>
      <c r="C19" s="2" t="s">
        <v>22</v>
      </c>
      <c r="D19" s="1" t="s">
        <v>54</v>
      </c>
      <c r="E19">
        <v>4354</v>
      </c>
      <c r="F19">
        <f t="shared" si="0"/>
        <v>3730</v>
      </c>
      <c r="G19">
        <v>3750</v>
      </c>
      <c r="H19">
        <f t="shared" si="1"/>
        <v>3770</v>
      </c>
    </row>
    <row r="20" spans="1:8" x14ac:dyDescent="0.25">
      <c r="A20" s="10">
        <v>20</v>
      </c>
      <c r="B20" t="s">
        <v>63</v>
      </c>
      <c r="C20" s="2" t="s">
        <v>29</v>
      </c>
      <c r="D20" s="1" t="s">
        <v>54</v>
      </c>
      <c r="E20">
        <v>5160</v>
      </c>
      <c r="F20">
        <f t="shared" si="0"/>
        <v>5480</v>
      </c>
      <c r="G20">
        <v>5500</v>
      </c>
      <c r="H20">
        <f t="shared" si="1"/>
        <v>5520</v>
      </c>
    </row>
    <row r="21" spans="1:8" x14ac:dyDescent="0.25">
      <c r="A21" s="10">
        <v>21</v>
      </c>
      <c r="B21" t="s">
        <v>64</v>
      </c>
      <c r="C21" s="2" t="s">
        <v>23</v>
      </c>
      <c r="D21" s="1" t="s">
        <v>54</v>
      </c>
      <c r="E21">
        <v>1692</v>
      </c>
      <c r="F21">
        <f t="shared" si="0"/>
        <v>1780</v>
      </c>
      <c r="G21">
        <v>1800</v>
      </c>
      <c r="H21">
        <f t="shared" si="1"/>
        <v>1820</v>
      </c>
    </row>
    <row r="22" spans="1:8" x14ac:dyDescent="0.25">
      <c r="A22" s="10">
        <v>22</v>
      </c>
      <c r="B22" t="s">
        <v>64</v>
      </c>
      <c r="C22" s="2" t="s">
        <v>24</v>
      </c>
      <c r="D22" s="1" t="s">
        <v>54</v>
      </c>
      <c r="E22">
        <v>1945</v>
      </c>
      <c r="F22">
        <f t="shared" si="0"/>
        <v>2080</v>
      </c>
      <c r="G22">
        <v>2100</v>
      </c>
      <c r="H22">
        <f t="shared" si="1"/>
        <v>2120</v>
      </c>
    </row>
    <row r="23" spans="1:8" x14ac:dyDescent="0.25">
      <c r="A23" s="10">
        <v>23</v>
      </c>
      <c r="B23" t="s">
        <v>64</v>
      </c>
      <c r="C23" s="2" t="s">
        <v>25</v>
      </c>
      <c r="D23" s="1" t="s">
        <v>54</v>
      </c>
      <c r="E23">
        <v>2199</v>
      </c>
      <c r="F23">
        <f t="shared" si="0"/>
        <v>2380</v>
      </c>
      <c r="G23">
        <v>2400</v>
      </c>
      <c r="H23">
        <f t="shared" si="1"/>
        <v>2420</v>
      </c>
    </row>
    <row r="24" spans="1:8" x14ac:dyDescent="0.25">
      <c r="A24" s="10">
        <v>24</v>
      </c>
      <c r="B24" t="s">
        <v>65</v>
      </c>
      <c r="C24" s="2" t="s">
        <v>26</v>
      </c>
      <c r="D24" s="1" t="s">
        <v>54</v>
      </c>
      <c r="E24">
        <v>1692</v>
      </c>
      <c r="F24">
        <f t="shared" si="0"/>
        <v>1780</v>
      </c>
      <c r="G24">
        <v>1800</v>
      </c>
      <c r="H24">
        <f t="shared" si="1"/>
        <v>1820</v>
      </c>
    </row>
    <row r="25" spans="1:8" x14ac:dyDescent="0.25">
      <c r="A25" s="10">
        <v>25</v>
      </c>
      <c r="B25" t="s">
        <v>65</v>
      </c>
      <c r="C25" s="2" t="s">
        <v>27</v>
      </c>
      <c r="D25" s="1" t="s">
        <v>54</v>
      </c>
      <c r="E25">
        <v>1974</v>
      </c>
      <c r="F25">
        <f t="shared" si="0"/>
        <v>2080</v>
      </c>
      <c r="G25">
        <v>2100</v>
      </c>
      <c r="H25">
        <f t="shared" si="1"/>
        <v>2120</v>
      </c>
    </row>
    <row r="26" spans="1:8" x14ac:dyDescent="0.25">
      <c r="A26" s="10">
        <v>26</v>
      </c>
      <c r="B26" t="s">
        <v>65</v>
      </c>
      <c r="C26" s="2" t="s">
        <v>28</v>
      </c>
      <c r="D26" s="1" t="s">
        <v>54</v>
      </c>
      <c r="E26">
        <v>2256</v>
      </c>
      <c r="F26">
        <f t="shared" si="0"/>
        <v>2380</v>
      </c>
      <c r="G26">
        <v>2400</v>
      </c>
      <c r="H26">
        <f t="shared" si="1"/>
        <v>2420</v>
      </c>
    </row>
    <row r="27" spans="1:8" x14ac:dyDescent="0.25">
      <c r="A27" s="10">
        <v>27</v>
      </c>
      <c r="B27" t="s">
        <v>65</v>
      </c>
      <c r="C27" s="2" t="s">
        <v>66</v>
      </c>
      <c r="D27" s="1" t="s">
        <v>54</v>
      </c>
      <c r="E27">
        <v>1974</v>
      </c>
      <c r="F27">
        <f t="shared" si="0"/>
        <v>2180</v>
      </c>
      <c r="G27">
        <v>2200</v>
      </c>
      <c r="H27">
        <f t="shared" si="1"/>
        <v>2220</v>
      </c>
    </row>
    <row r="28" spans="1:8" x14ac:dyDescent="0.25">
      <c r="A28" s="10">
        <v>28</v>
      </c>
      <c r="B28" t="s">
        <v>67</v>
      </c>
      <c r="C28" s="2" t="s">
        <v>30</v>
      </c>
      <c r="D28" s="1" t="s">
        <v>54</v>
      </c>
      <c r="E28">
        <v>2115</v>
      </c>
      <c r="F28">
        <f t="shared" si="0"/>
        <v>2330</v>
      </c>
      <c r="G28">
        <v>2350</v>
      </c>
      <c r="H28">
        <f t="shared" si="1"/>
        <v>2370</v>
      </c>
    </row>
    <row r="29" spans="1:8" x14ac:dyDescent="0.25">
      <c r="A29" s="10">
        <v>29</v>
      </c>
      <c r="B29" t="s">
        <v>67</v>
      </c>
      <c r="C29" s="2" t="s">
        <v>31</v>
      </c>
      <c r="D29" s="1" t="s">
        <v>54</v>
      </c>
      <c r="E29">
        <v>2481</v>
      </c>
      <c r="F29">
        <f t="shared" si="0"/>
        <v>2730</v>
      </c>
      <c r="G29">
        <v>2750</v>
      </c>
      <c r="H29">
        <f t="shared" si="1"/>
        <v>2770</v>
      </c>
    </row>
    <row r="30" spans="1:8" x14ac:dyDescent="0.25">
      <c r="A30" s="10">
        <v>30</v>
      </c>
      <c r="B30" t="s">
        <v>67</v>
      </c>
      <c r="C30" s="2" t="s">
        <v>32</v>
      </c>
      <c r="D30" s="1" t="s">
        <v>54</v>
      </c>
      <c r="E30">
        <v>2932</v>
      </c>
      <c r="F30">
        <f t="shared" si="0"/>
        <v>3180</v>
      </c>
      <c r="G30">
        <v>3200</v>
      </c>
      <c r="H30">
        <f t="shared" si="1"/>
        <v>3220</v>
      </c>
    </row>
    <row r="31" spans="1:8" x14ac:dyDescent="0.25">
      <c r="A31" s="10">
        <v>31</v>
      </c>
      <c r="B31" t="s">
        <v>67</v>
      </c>
      <c r="C31" s="2" t="s">
        <v>33</v>
      </c>
      <c r="D31" s="1" t="s">
        <v>54</v>
      </c>
      <c r="E31">
        <v>3525</v>
      </c>
      <c r="F31">
        <f t="shared" si="0"/>
        <v>3780</v>
      </c>
      <c r="G31">
        <v>3800</v>
      </c>
      <c r="H31">
        <f t="shared" si="1"/>
        <v>3820</v>
      </c>
    </row>
    <row r="32" spans="1:8" x14ac:dyDescent="0.25">
      <c r="A32" s="10">
        <v>32</v>
      </c>
      <c r="B32" t="s">
        <v>67</v>
      </c>
      <c r="C32" s="2" t="s">
        <v>34</v>
      </c>
      <c r="D32" s="1" t="s">
        <v>54</v>
      </c>
      <c r="E32">
        <v>5160</v>
      </c>
      <c r="F32">
        <f t="shared" si="0"/>
        <v>3580</v>
      </c>
      <c r="G32">
        <v>3600</v>
      </c>
      <c r="H32">
        <f t="shared" si="1"/>
        <v>3620</v>
      </c>
    </row>
    <row r="33" spans="1:8" x14ac:dyDescent="0.25">
      <c r="A33" s="10">
        <v>33</v>
      </c>
      <c r="B33" t="s">
        <v>68</v>
      </c>
      <c r="C33" s="2" t="s">
        <v>35</v>
      </c>
      <c r="D33" s="1" t="s">
        <v>54</v>
      </c>
      <c r="E33">
        <v>2870</v>
      </c>
      <c r="F33">
        <f t="shared" si="0"/>
        <v>3130</v>
      </c>
      <c r="G33">
        <v>3150</v>
      </c>
      <c r="H33">
        <f t="shared" si="1"/>
        <v>3170</v>
      </c>
    </row>
    <row r="34" spans="1:8" x14ac:dyDescent="0.25">
      <c r="A34" s="10">
        <v>34</v>
      </c>
      <c r="B34" t="s">
        <v>68</v>
      </c>
      <c r="C34" s="2" t="s">
        <v>36</v>
      </c>
      <c r="D34" s="1" t="s">
        <v>54</v>
      </c>
      <c r="E34">
        <v>3357</v>
      </c>
      <c r="F34">
        <f t="shared" si="0"/>
        <v>3580</v>
      </c>
      <c r="G34">
        <v>3600</v>
      </c>
      <c r="H34">
        <f t="shared" si="1"/>
        <v>3620</v>
      </c>
    </row>
    <row r="35" spans="1:8" x14ac:dyDescent="0.25">
      <c r="A35" s="10">
        <v>35</v>
      </c>
      <c r="B35" t="s">
        <v>68</v>
      </c>
      <c r="C35" s="2" t="s">
        <v>37</v>
      </c>
      <c r="D35" s="1" t="s">
        <v>54</v>
      </c>
      <c r="E35">
        <v>3931</v>
      </c>
      <c r="F35">
        <f t="shared" si="0"/>
        <v>4130</v>
      </c>
      <c r="G35">
        <v>4150</v>
      </c>
      <c r="H35">
        <f t="shared" si="1"/>
        <v>4170</v>
      </c>
    </row>
    <row r="36" spans="1:8" x14ac:dyDescent="0.25">
      <c r="A36" s="10">
        <v>36</v>
      </c>
      <c r="B36" t="s">
        <v>68</v>
      </c>
      <c r="C36" s="2" t="s">
        <v>38</v>
      </c>
      <c r="D36" s="1" t="s">
        <v>54</v>
      </c>
      <c r="E36">
        <v>4792</v>
      </c>
      <c r="F36">
        <f t="shared" si="0"/>
        <v>5080</v>
      </c>
      <c r="G36">
        <v>5100</v>
      </c>
      <c r="H36">
        <f t="shared" si="1"/>
        <v>5120</v>
      </c>
    </row>
    <row r="37" spans="1:8" x14ac:dyDescent="0.25">
      <c r="A37" s="10">
        <v>37</v>
      </c>
      <c r="B37" t="s">
        <v>68</v>
      </c>
      <c r="C37" s="2" t="s">
        <v>39</v>
      </c>
      <c r="D37" s="1" t="s">
        <v>54</v>
      </c>
      <c r="E37">
        <v>7175</v>
      </c>
      <c r="F37">
        <f t="shared" si="0"/>
        <v>7480</v>
      </c>
      <c r="G37">
        <v>7500</v>
      </c>
      <c r="H37">
        <f t="shared" si="1"/>
        <v>7520</v>
      </c>
    </row>
    <row r="38" spans="1:8" x14ac:dyDescent="0.25">
      <c r="A38" s="10">
        <v>38</v>
      </c>
      <c r="B38" t="s">
        <v>69</v>
      </c>
      <c r="C38" s="2" t="s">
        <v>40</v>
      </c>
      <c r="D38" s="1" t="s">
        <v>54</v>
      </c>
      <c r="E38">
        <v>2927</v>
      </c>
      <c r="F38">
        <f t="shared" si="0"/>
        <v>3080</v>
      </c>
      <c r="G38">
        <v>3100</v>
      </c>
      <c r="H38">
        <f t="shared" si="1"/>
        <v>3120</v>
      </c>
    </row>
    <row r="39" spans="1:8" x14ac:dyDescent="0.25">
      <c r="A39" s="10">
        <v>39</v>
      </c>
      <c r="B39" t="s">
        <v>69</v>
      </c>
      <c r="C39" s="2" t="s">
        <v>41</v>
      </c>
      <c r="D39" s="1" t="s">
        <v>54</v>
      </c>
      <c r="E39">
        <v>3415</v>
      </c>
      <c r="F39">
        <f t="shared" si="0"/>
        <v>3580</v>
      </c>
      <c r="G39">
        <v>3600</v>
      </c>
      <c r="H39">
        <f t="shared" si="1"/>
        <v>3620</v>
      </c>
    </row>
    <row r="40" spans="1:8" x14ac:dyDescent="0.25">
      <c r="A40" s="10">
        <v>40</v>
      </c>
      <c r="B40" t="s">
        <v>69</v>
      </c>
      <c r="C40" s="2" t="s">
        <v>42</v>
      </c>
      <c r="D40" s="1" t="s">
        <v>54</v>
      </c>
      <c r="E40">
        <v>3903</v>
      </c>
      <c r="F40">
        <f t="shared" si="0"/>
        <v>4080</v>
      </c>
      <c r="G40">
        <v>4100</v>
      </c>
      <c r="H40">
        <f t="shared" si="1"/>
        <v>4120</v>
      </c>
    </row>
    <row r="41" spans="1:8" x14ac:dyDescent="0.25">
      <c r="A41" s="10">
        <v>41</v>
      </c>
      <c r="B41" t="s">
        <v>70</v>
      </c>
      <c r="C41" s="2" t="s">
        <v>43</v>
      </c>
      <c r="D41" s="1" t="s">
        <v>54</v>
      </c>
      <c r="E41">
        <v>3386</v>
      </c>
      <c r="F41">
        <f t="shared" si="0"/>
        <v>3580</v>
      </c>
      <c r="G41">
        <v>3600</v>
      </c>
      <c r="H41">
        <f t="shared" si="1"/>
        <v>3620</v>
      </c>
    </row>
    <row r="42" spans="1:8" x14ac:dyDescent="0.25">
      <c r="A42" s="10">
        <v>42</v>
      </c>
      <c r="B42" t="s">
        <v>70</v>
      </c>
      <c r="C42" s="2" t="s">
        <v>44</v>
      </c>
      <c r="D42" s="1" t="s">
        <v>54</v>
      </c>
      <c r="E42">
        <v>3874</v>
      </c>
      <c r="F42">
        <f t="shared" si="0"/>
        <v>4180</v>
      </c>
      <c r="G42">
        <v>4200</v>
      </c>
      <c r="H42">
        <f t="shared" si="1"/>
        <v>4220</v>
      </c>
    </row>
    <row r="43" spans="1:8" x14ac:dyDescent="0.25">
      <c r="A43" s="10">
        <v>43</v>
      </c>
      <c r="B43" t="s">
        <v>70</v>
      </c>
      <c r="C43" s="2" t="s">
        <v>45</v>
      </c>
      <c r="D43" s="1" t="s">
        <v>54</v>
      </c>
      <c r="E43">
        <v>4448</v>
      </c>
      <c r="F43">
        <f t="shared" si="0"/>
        <v>4730</v>
      </c>
      <c r="G43">
        <v>4750</v>
      </c>
      <c r="H43">
        <f t="shared" si="1"/>
        <v>4770</v>
      </c>
    </row>
    <row r="44" spans="1:8" x14ac:dyDescent="0.25">
      <c r="A44" s="10">
        <v>44</v>
      </c>
      <c r="B44" t="s">
        <v>70</v>
      </c>
      <c r="C44" s="2" t="s">
        <v>46</v>
      </c>
      <c r="D44" s="1" t="s">
        <v>54</v>
      </c>
      <c r="E44">
        <v>5453</v>
      </c>
      <c r="F44">
        <f t="shared" si="0"/>
        <v>5780</v>
      </c>
      <c r="G44">
        <v>5800</v>
      </c>
      <c r="H44">
        <f t="shared" si="1"/>
        <v>5820</v>
      </c>
    </row>
    <row r="45" spans="1:8" x14ac:dyDescent="0.25">
      <c r="A45" s="10">
        <v>45</v>
      </c>
      <c r="B45" t="s">
        <v>70</v>
      </c>
      <c r="C45" s="2" t="s">
        <v>47</v>
      </c>
      <c r="D45" s="1" t="s">
        <v>54</v>
      </c>
      <c r="E45">
        <v>8208</v>
      </c>
      <c r="F45">
        <f t="shared" si="0"/>
        <v>8580</v>
      </c>
      <c r="G45">
        <v>8600</v>
      </c>
      <c r="H45">
        <f t="shared" si="1"/>
        <v>8620</v>
      </c>
    </row>
    <row r="46" spans="1:8" x14ac:dyDescent="0.25">
      <c r="A46" s="10">
        <v>46</v>
      </c>
      <c r="B46" t="s">
        <v>71</v>
      </c>
      <c r="C46" s="2" t="s">
        <v>49</v>
      </c>
      <c r="D46" s="1" t="s">
        <v>54</v>
      </c>
      <c r="E46">
        <v>4448</v>
      </c>
      <c r="F46">
        <f t="shared" si="0"/>
        <v>4680</v>
      </c>
      <c r="G46">
        <v>4700</v>
      </c>
      <c r="H46">
        <f t="shared" si="1"/>
        <v>4720</v>
      </c>
    </row>
    <row r="47" spans="1:8" x14ac:dyDescent="0.25">
      <c r="A47" s="10">
        <v>47</v>
      </c>
      <c r="B47" t="s">
        <v>71</v>
      </c>
      <c r="C47" s="2" t="s">
        <v>50</v>
      </c>
      <c r="D47" s="1" t="s">
        <v>54</v>
      </c>
      <c r="E47">
        <v>5166</v>
      </c>
      <c r="F47">
        <f t="shared" si="0"/>
        <v>5580</v>
      </c>
      <c r="G47">
        <v>5600</v>
      </c>
      <c r="H47">
        <f t="shared" si="1"/>
        <v>5620</v>
      </c>
    </row>
    <row r="48" spans="1:8" x14ac:dyDescent="0.25">
      <c r="A48" s="10">
        <v>48</v>
      </c>
      <c r="B48" t="s">
        <v>71</v>
      </c>
      <c r="C48" s="2" t="s">
        <v>51</v>
      </c>
      <c r="D48" s="1" t="s">
        <v>54</v>
      </c>
      <c r="E48">
        <v>5883</v>
      </c>
      <c r="F48">
        <f t="shared" si="0"/>
        <v>6280</v>
      </c>
      <c r="G48">
        <v>6300</v>
      </c>
      <c r="H48">
        <f t="shared" si="1"/>
        <v>6320</v>
      </c>
    </row>
    <row r="49" spans="1:8" x14ac:dyDescent="0.25">
      <c r="A49" s="10">
        <v>49</v>
      </c>
      <c r="B49" t="s">
        <v>71</v>
      </c>
      <c r="C49" s="2" t="s">
        <v>52</v>
      </c>
      <c r="D49" s="1" t="s">
        <v>54</v>
      </c>
      <c r="E49">
        <v>7318</v>
      </c>
      <c r="F49">
        <f t="shared" si="0"/>
        <v>7680</v>
      </c>
      <c r="G49">
        <v>7700</v>
      </c>
      <c r="H49">
        <f t="shared" si="1"/>
        <v>7720</v>
      </c>
    </row>
    <row r="50" spans="1:8" x14ac:dyDescent="0.25">
      <c r="A50" s="10">
        <v>50</v>
      </c>
      <c r="B50" t="s">
        <v>71</v>
      </c>
      <c r="C50" s="2" t="s">
        <v>48</v>
      </c>
      <c r="D50" s="1" t="s">
        <v>54</v>
      </c>
      <c r="E50">
        <v>10809</v>
      </c>
      <c r="F50">
        <f t="shared" si="0"/>
        <v>11380</v>
      </c>
      <c r="G50">
        <v>11400</v>
      </c>
      <c r="H50">
        <f t="shared" si="1"/>
        <v>11420</v>
      </c>
    </row>
    <row r="51" spans="1:8" x14ac:dyDescent="0.25">
      <c r="A51" s="10">
        <v>51</v>
      </c>
      <c r="B51" t="s">
        <v>72</v>
      </c>
      <c r="C51" s="2" t="s">
        <v>53</v>
      </c>
      <c r="D51" s="1" t="s">
        <v>54</v>
      </c>
      <c r="E51">
        <v>5883</v>
      </c>
      <c r="F51">
        <f t="shared" si="0"/>
        <v>6280</v>
      </c>
      <c r="G51">
        <v>6300</v>
      </c>
      <c r="H51">
        <f t="shared" si="1"/>
        <v>6320</v>
      </c>
    </row>
    <row r="52" spans="1:8" x14ac:dyDescent="0.25">
      <c r="A52" s="10">
        <v>52</v>
      </c>
      <c r="B52" t="s">
        <v>73</v>
      </c>
      <c r="C52" s="2" t="s">
        <v>58</v>
      </c>
      <c r="D52" s="1" t="s">
        <v>54</v>
      </c>
      <c r="E52">
        <v>730</v>
      </c>
      <c r="F52">
        <f t="shared" si="0"/>
        <v>830</v>
      </c>
      <c r="G52">
        <v>850</v>
      </c>
      <c r="H52">
        <f t="shared" si="1"/>
        <v>870</v>
      </c>
    </row>
    <row r="54" spans="1:8" x14ac:dyDescent="0.25">
      <c r="A54" s="10">
        <v>53</v>
      </c>
      <c r="B54" t="s">
        <v>164</v>
      </c>
      <c r="C54" s="5" t="s">
        <v>158</v>
      </c>
      <c r="D54" s="1" t="s">
        <v>238</v>
      </c>
      <c r="E54">
        <v>88</v>
      </c>
      <c r="F54">
        <v>120</v>
      </c>
      <c r="G54">
        <v>140</v>
      </c>
      <c r="H54">
        <v>150</v>
      </c>
    </row>
    <row r="55" spans="1:8" x14ac:dyDescent="0.25">
      <c r="A55" s="10">
        <v>54</v>
      </c>
      <c r="B55" t="s">
        <v>165</v>
      </c>
      <c r="C55" s="5" t="s">
        <v>159</v>
      </c>
      <c r="D55" s="1" t="s">
        <v>238</v>
      </c>
      <c r="E55">
        <v>118</v>
      </c>
      <c r="F55">
        <v>160</v>
      </c>
      <c r="G55">
        <v>180</v>
      </c>
      <c r="H55">
        <v>190</v>
      </c>
    </row>
    <row r="56" spans="1:8" x14ac:dyDescent="0.25">
      <c r="A56" s="10">
        <v>55</v>
      </c>
      <c r="B56" t="s">
        <v>164</v>
      </c>
      <c r="C56" s="2" t="s">
        <v>160</v>
      </c>
      <c r="D56" s="1" t="s">
        <v>238</v>
      </c>
      <c r="E56">
        <v>88</v>
      </c>
      <c r="F56">
        <v>120</v>
      </c>
      <c r="G56">
        <v>140</v>
      </c>
      <c r="H56">
        <v>150</v>
      </c>
    </row>
    <row r="57" spans="1:8" x14ac:dyDescent="0.25">
      <c r="A57" s="10">
        <v>56</v>
      </c>
      <c r="B57" t="s">
        <v>165</v>
      </c>
      <c r="C57" s="2" t="s">
        <v>161</v>
      </c>
      <c r="D57" s="1" t="s">
        <v>238</v>
      </c>
      <c r="E57">
        <v>128</v>
      </c>
      <c r="F57">
        <v>160</v>
      </c>
      <c r="G57">
        <v>180</v>
      </c>
      <c r="H57">
        <v>190</v>
      </c>
    </row>
    <row r="58" spans="1:8" x14ac:dyDescent="0.25">
      <c r="A58" s="10">
        <v>57</v>
      </c>
      <c r="B58" t="s">
        <v>164</v>
      </c>
      <c r="C58" s="2" t="s">
        <v>162</v>
      </c>
      <c r="D58" s="1" t="s">
        <v>238</v>
      </c>
      <c r="E58">
        <v>38</v>
      </c>
      <c r="F58">
        <v>60</v>
      </c>
      <c r="G58">
        <v>70</v>
      </c>
      <c r="H58">
        <v>80</v>
      </c>
    </row>
    <row r="59" spans="1:8" x14ac:dyDescent="0.25">
      <c r="A59" s="10">
        <v>58</v>
      </c>
      <c r="B59" t="s">
        <v>165</v>
      </c>
      <c r="C59" s="2" t="s">
        <v>163</v>
      </c>
      <c r="D59" s="1" t="s">
        <v>238</v>
      </c>
      <c r="E59">
        <v>50</v>
      </c>
      <c r="F59">
        <v>75</v>
      </c>
      <c r="G59">
        <v>90</v>
      </c>
      <c r="H59">
        <v>100</v>
      </c>
    </row>
    <row r="60" spans="1:8" x14ac:dyDescent="0.25">
      <c r="A60" s="10">
        <v>59</v>
      </c>
      <c r="B60" t="s">
        <v>164</v>
      </c>
      <c r="C60" s="3" t="s">
        <v>166</v>
      </c>
      <c r="D60" s="1" t="s">
        <v>238</v>
      </c>
      <c r="E60">
        <v>200</v>
      </c>
      <c r="F60">
        <v>250</v>
      </c>
      <c r="G60">
        <v>250</v>
      </c>
      <c r="H60">
        <v>275</v>
      </c>
    </row>
    <row r="61" spans="1:8" x14ac:dyDescent="0.25">
      <c r="A61" s="10">
        <v>60</v>
      </c>
      <c r="B61" t="s">
        <v>164</v>
      </c>
      <c r="C61" s="3" t="s">
        <v>195</v>
      </c>
      <c r="D61" s="1" t="s">
        <v>238</v>
      </c>
      <c r="E61">
        <v>286</v>
      </c>
      <c r="F61">
        <v>450</v>
      </c>
      <c r="G61">
        <v>480</v>
      </c>
      <c r="H61">
        <v>495</v>
      </c>
    </row>
    <row r="62" spans="1:8" x14ac:dyDescent="0.25">
      <c r="A62" s="10">
        <v>61</v>
      </c>
      <c r="B62" t="s">
        <v>165</v>
      </c>
      <c r="C62" s="3" t="s">
        <v>167</v>
      </c>
      <c r="D62" s="1" t="s">
        <v>238</v>
      </c>
      <c r="E62">
        <v>270</v>
      </c>
      <c r="F62">
        <v>350</v>
      </c>
      <c r="G62">
        <v>350</v>
      </c>
      <c r="H62">
        <v>365</v>
      </c>
    </row>
    <row r="63" spans="1:8" x14ac:dyDescent="0.25">
      <c r="A63" s="10">
        <v>62</v>
      </c>
      <c r="B63" t="s">
        <v>164</v>
      </c>
      <c r="C63" s="3" t="s">
        <v>168</v>
      </c>
      <c r="D63" s="1" t="s">
        <v>238</v>
      </c>
      <c r="E63">
        <v>86</v>
      </c>
      <c r="F63">
        <v>160</v>
      </c>
      <c r="G63">
        <v>180</v>
      </c>
      <c r="H63">
        <v>195</v>
      </c>
    </row>
    <row r="64" spans="1:8" x14ac:dyDescent="0.25">
      <c r="A64" s="10">
        <v>63</v>
      </c>
      <c r="B64" t="s">
        <v>165</v>
      </c>
      <c r="C64" s="3" t="s">
        <v>169</v>
      </c>
      <c r="D64" s="1" t="s">
        <v>238</v>
      </c>
      <c r="E64">
        <v>168</v>
      </c>
      <c r="F64">
        <v>200</v>
      </c>
      <c r="G64">
        <v>220</v>
      </c>
      <c r="H64">
        <v>245</v>
      </c>
    </row>
    <row r="65" spans="1:8" x14ac:dyDescent="0.25">
      <c r="A65" s="10">
        <v>64</v>
      </c>
      <c r="B65" t="s">
        <v>172</v>
      </c>
      <c r="C65" s="2" t="s">
        <v>170</v>
      </c>
      <c r="D65" s="1" t="s">
        <v>238</v>
      </c>
      <c r="E65">
        <v>740</v>
      </c>
      <c r="F65">
        <v>980</v>
      </c>
      <c r="G65">
        <v>980</v>
      </c>
      <c r="H65">
        <v>995</v>
      </c>
    </row>
    <row r="66" spans="1:8" x14ac:dyDescent="0.25">
      <c r="A66" s="10">
        <v>65</v>
      </c>
      <c r="B66" t="s">
        <v>172</v>
      </c>
      <c r="C66" s="2" t="s">
        <v>171</v>
      </c>
      <c r="D66" s="1" t="s">
        <v>238</v>
      </c>
      <c r="E66">
        <v>500</v>
      </c>
      <c r="F66">
        <v>980</v>
      </c>
      <c r="G66">
        <v>980</v>
      </c>
      <c r="H66">
        <v>995</v>
      </c>
    </row>
    <row r="67" spans="1:8" x14ac:dyDescent="0.25">
      <c r="A67" s="10">
        <v>66</v>
      </c>
      <c r="B67" t="s">
        <v>180</v>
      </c>
      <c r="C67" s="3" t="s">
        <v>173</v>
      </c>
      <c r="D67" s="1" t="s">
        <v>238</v>
      </c>
      <c r="E67">
        <v>500</v>
      </c>
      <c r="F67">
        <v>900</v>
      </c>
      <c r="G67">
        <v>950</v>
      </c>
      <c r="H67">
        <v>1946.14</v>
      </c>
    </row>
    <row r="68" spans="1:8" x14ac:dyDescent="0.25">
      <c r="A68" s="10">
        <v>67</v>
      </c>
      <c r="B68" t="s">
        <v>181</v>
      </c>
      <c r="C68" s="3" t="s">
        <v>179</v>
      </c>
      <c r="D68" s="1" t="s">
        <v>238</v>
      </c>
      <c r="E68">
        <v>1200</v>
      </c>
      <c r="F68">
        <v>1500</v>
      </c>
      <c r="G68">
        <v>1650</v>
      </c>
      <c r="H68">
        <v>2067</v>
      </c>
    </row>
    <row r="69" spans="1:8" x14ac:dyDescent="0.25">
      <c r="A69" s="10">
        <v>68</v>
      </c>
      <c r="B69" t="s">
        <v>180</v>
      </c>
      <c r="C69" s="3" t="s">
        <v>176</v>
      </c>
      <c r="D69" s="1" t="s">
        <v>238</v>
      </c>
      <c r="E69">
        <v>720</v>
      </c>
      <c r="F69">
        <v>950</v>
      </c>
      <c r="G69">
        <v>950</v>
      </c>
      <c r="H69">
        <v>975</v>
      </c>
    </row>
    <row r="70" spans="1:8" x14ac:dyDescent="0.25">
      <c r="A70" s="10">
        <v>69</v>
      </c>
      <c r="B70" t="s">
        <v>181</v>
      </c>
      <c r="C70" s="3" t="s">
        <v>177</v>
      </c>
      <c r="D70" s="1" t="s">
        <v>238</v>
      </c>
      <c r="E70">
        <v>832</v>
      </c>
      <c r="F70">
        <v>1100</v>
      </c>
      <c r="G70">
        <v>1150</v>
      </c>
      <c r="H70">
        <v>1175</v>
      </c>
    </row>
    <row r="71" spans="1:8" x14ac:dyDescent="0.25">
      <c r="A71" s="10">
        <v>70</v>
      </c>
      <c r="B71" t="s">
        <v>180</v>
      </c>
      <c r="C71" s="3" t="s">
        <v>174</v>
      </c>
      <c r="D71" s="1" t="s">
        <v>238</v>
      </c>
      <c r="E71">
        <v>1600</v>
      </c>
      <c r="F71">
        <v>2200</v>
      </c>
      <c r="G71">
        <v>2250</v>
      </c>
      <c r="H71">
        <v>2275</v>
      </c>
    </row>
    <row r="72" spans="1:8" x14ac:dyDescent="0.25">
      <c r="A72" s="10">
        <v>71</v>
      </c>
      <c r="B72" t="s">
        <v>187</v>
      </c>
      <c r="C72" s="3" t="s">
        <v>175</v>
      </c>
      <c r="D72" s="1" t="s">
        <v>238</v>
      </c>
      <c r="E72">
        <v>2500</v>
      </c>
      <c r="F72">
        <v>3150</v>
      </c>
      <c r="G72">
        <v>3200</v>
      </c>
      <c r="H72">
        <v>3250</v>
      </c>
    </row>
    <row r="73" spans="1:8" x14ac:dyDescent="0.25">
      <c r="A73" s="10">
        <v>72</v>
      </c>
      <c r="B73" t="s">
        <v>180</v>
      </c>
      <c r="C73" s="2" t="s">
        <v>182</v>
      </c>
      <c r="D73" s="1" t="s">
        <v>238</v>
      </c>
      <c r="E73">
        <v>1300</v>
      </c>
      <c r="F73">
        <v>1600</v>
      </c>
      <c r="G73">
        <v>1650</v>
      </c>
      <c r="H73">
        <v>1675</v>
      </c>
    </row>
    <row r="74" spans="1:8" x14ac:dyDescent="0.25">
      <c r="A74" s="10">
        <v>73</v>
      </c>
      <c r="B74" t="s">
        <v>180</v>
      </c>
      <c r="C74" s="2" t="s">
        <v>183</v>
      </c>
      <c r="D74" s="1" t="s">
        <v>238</v>
      </c>
      <c r="E74">
        <v>810</v>
      </c>
      <c r="F74">
        <v>1200</v>
      </c>
      <c r="G74">
        <v>1250</v>
      </c>
      <c r="H74">
        <v>1275</v>
      </c>
    </row>
    <row r="75" spans="1:8" x14ac:dyDescent="0.25">
      <c r="A75" s="10">
        <v>74</v>
      </c>
      <c r="B75" t="s">
        <v>181</v>
      </c>
      <c r="C75" s="2" t="s">
        <v>184</v>
      </c>
      <c r="D75" s="1" t="s">
        <v>238</v>
      </c>
      <c r="E75">
        <v>1500</v>
      </c>
      <c r="F75">
        <v>1875</v>
      </c>
      <c r="G75">
        <v>1950</v>
      </c>
      <c r="H75">
        <v>1975</v>
      </c>
    </row>
    <row r="76" spans="1:8" x14ac:dyDescent="0.25">
      <c r="A76" s="10">
        <v>75</v>
      </c>
      <c r="B76" t="s">
        <v>181</v>
      </c>
      <c r="C76" s="2" t="s">
        <v>185</v>
      </c>
      <c r="D76" s="1" t="s">
        <v>238</v>
      </c>
    </row>
    <row r="77" spans="1:8" x14ac:dyDescent="0.25">
      <c r="A77" s="10">
        <v>76</v>
      </c>
      <c r="B77" t="s">
        <v>181</v>
      </c>
      <c r="C77" s="3" t="s">
        <v>186</v>
      </c>
      <c r="D77" s="1" t="s">
        <v>238</v>
      </c>
      <c r="E77">
        <v>825</v>
      </c>
      <c r="F77">
        <v>1050</v>
      </c>
      <c r="G77">
        <v>1100</v>
      </c>
      <c r="H77">
        <v>1100</v>
      </c>
    </row>
    <row r="78" spans="1:8" x14ac:dyDescent="0.25">
      <c r="A78" s="10">
        <v>77</v>
      </c>
      <c r="B78" t="s">
        <v>180</v>
      </c>
      <c r="C78" s="3" t="s">
        <v>188</v>
      </c>
      <c r="D78" s="1" t="s">
        <v>238</v>
      </c>
      <c r="E78">
        <v>720</v>
      </c>
      <c r="F78">
        <v>950</v>
      </c>
      <c r="G78">
        <v>950</v>
      </c>
      <c r="H78">
        <v>975</v>
      </c>
    </row>
    <row r="79" spans="1:8" x14ac:dyDescent="0.25">
      <c r="A79" s="10">
        <v>78</v>
      </c>
      <c r="B79" t="s">
        <v>180</v>
      </c>
      <c r="C79" s="3" t="s">
        <v>189</v>
      </c>
      <c r="D79" s="1" t="s">
        <v>238</v>
      </c>
      <c r="E79">
        <v>720</v>
      </c>
      <c r="F79">
        <v>950</v>
      </c>
      <c r="G79">
        <v>950</v>
      </c>
      <c r="H79">
        <v>1400</v>
      </c>
    </row>
    <row r="80" spans="1:8" x14ac:dyDescent="0.25">
      <c r="A80" s="10">
        <v>79</v>
      </c>
      <c r="B80" t="s">
        <v>180</v>
      </c>
      <c r="C80" s="3" t="s">
        <v>190</v>
      </c>
      <c r="D80" s="1" t="s">
        <v>238</v>
      </c>
      <c r="E80">
        <v>185</v>
      </c>
      <c r="F80">
        <v>280</v>
      </c>
      <c r="G80">
        <v>280</v>
      </c>
      <c r="H80">
        <v>295</v>
      </c>
    </row>
    <row r="81" spans="1:8" x14ac:dyDescent="0.25">
      <c r="A81" s="10">
        <v>80</v>
      </c>
      <c r="B81" t="s">
        <v>181</v>
      </c>
      <c r="C81" s="3" t="s">
        <v>191</v>
      </c>
      <c r="D81" s="1" t="s">
        <v>238</v>
      </c>
      <c r="E81">
        <v>250</v>
      </c>
      <c r="F81">
        <v>380</v>
      </c>
      <c r="G81">
        <v>380</v>
      </c>
      <c r="H81">
        <v>395</v>
      </c>
    </row>
    <row r="82" spans="1:8" x14ac:dyDescent="0.25">
      <c r="A82" s="10">
        <v>81</v>
      </c>
      <c r="B82" t="s">
        <v>180</v>
      </c>
      <c r="C82" s="2" t="s">
        <v>192</v>
      </c>
      <c r="D82" s="1" t="s">
        <v>238</v>
      </c>
      <c r="E82">
        <v>890</v>
      </c>
      <c r="F82">
        <v>1250</v>
      </c>
      <c r="G82">
        <v>1350</v>
      </c>
      <c r="H82">
        <v>1375</v>
      </c>
    </row>
    <row r="83" spans="1:8" x14ac:dyDescent="0.25">
      <c r="A83" s="10">
        <v>82</v>
      </c>
      <c r="B83" t="s">
        <v>180</v>
      </c>
      <c r="C83" s="2" t="s">
        <v>193</v>
      </c>
      <c r="D83" s="1" t="s">
        <v>238</v>
      </c>
      <c r="E83">
        <v>1053</v>
      </c>
      <c r="F83">
        <v>1200</v>
      </c>
      <c r="G83">
        <v>1280</v>
      </c>
      <c r="H83">
        <v>1295</v>
      </c>
    </row>
    <row r="84" spans="1:8" x14ac:dyDescent="0.25">
      <c r="A84" s="10">
        <v>83</v>
      </c>
      <c r="B84" t="s">
        <v>181</v>
      </c>
      <c r="C84" s="2" t="s">
        <v>194</v>
      </c>
      <c r="D84" s="1" t="s">
        <v>238</v>
      </c>
      <c r="E84">
        <v>1250</v>
      </c>
      <c r="F84">
        <v>1500</v>
      </c>
      <c r="G84">
        <v>1500</v>
      </c>
      <c r="H84">
        <v>1667</v>
      </c>
    </row>
    <row r="85" spans="1:8" x14ac:dyDescent="0.25">
      <c r="A85" s="10">
        <v>84</v>
      </c>
      <c r="B85" t="s">
        <v>181</v>
      </c>
      <c r="C85" s="2" t="s">
        <v>196</v>
      </c>
      <c r="D85" s="1" t="s">
        <v>238</v>
      </c>
      <c r="E85">
        <v>990</v>
      </c>
      <c r="F85">
        <v>1300</v>
      </c>
      <c r="G85">
        <v>1450</v>
      </c>
      <c r="H85">
        <v>1475</v>
      </c>
    </row>
    <row r="86" spans="1:8" x14ac:dyDescent="0.25">
      <c r="A86" s="10">
        <v>85</v>
      </c>
      <c r="B86" t="s">
        <v>210</v>
      </c>
      <c r="C86" s="2" t="s">
        <v>208</v>
      </c>
      <c r="D86" s="1" t="s">
        <v>238</v>
      </c>
      <c r="E86">
        <v>90</v>
      </c>
      <c r="F86">
        <v>150</v>
      </c>
      <c r="G86">
        <v>180</v>
      </c>
      <c r="H86">
        <v>195</v>
      </c>
    </row>
    <row r="87" spans="1:8" x14ac:dyDescent="0.25">
      <c r="A87" s="10">
        <v>86</v>
      </c>
      <c r="B87" t="s">
        <v>210</v>
      </c>
      <c r="C87" s="2" t="s">
        <v>209</v>
      </c>
      <c r="D87" s="1" t="s">
        <v>238</v>
      </c>
      <c r="E87">
        <v>120</v>
      </c>
      <c r="F87">
        <v>190</v>
      </c>
      <c r="G87">
        <v>200</v>
      </c>
      <c r="H87">
        <v>220</v>
      </c>
    </row>
    <row r="88" spans="1:8" x14ac:dyDescent="0.25">
      <c r="A88" s="10">
        <v>87</v>
      </c>
      <c r="B88" t="s">
        <v>217</v>
      </c>
      <c r="C88" s="2" t="s">
        <v>211</v>
      </c>
      <c r="D88" s="1" t="s">
        <v>238</v>
      </c>
      <c r="E88">
        <v>563</v>
      </c>
      <c r="F88">
        <v>680</v>
      </c>
      <c r="G88">
        <v>750</v>
      </c>
      <c r="H88">
        <v>775</v>
      </c>
    </row>
    <row r="89" spans="1:8" x14ac:dyDescent="0.25">
      <c r="A89" s="10">
        <v>88</v>
      </c>
      <c r="B89" t="s">
        <v>212</v>
      </c>
      <c r="C89" s="2" t="s">
        <v>213</v>
      </c>
      <c r="D89" s="1" t="s">
        <v>238</v>
      </c>
      <c r="E89">
        <v>1350</v>
      </c>
      <c r="F89">
        <v>1700</v>
      </c>
      <c r="G89">
        <v>1750</v>
      </c>
      <c r="H89">
        <v>1775</v>
      </c>
    </row>
    <row r="90" spans="1:8" x14ac:dyDescent="0.25">
      <c r="A90" s="10">
        <v>89</v>
      </c>
      <c r="B90" t="s">
        <v>212</v>
      </c>
      <c r="C90" s="2" t="s">
        <v>216</v>
      </c>
      <c r="D90" s="1" t="s">
        <v>238</v>
      </c>
      <c r="E90">
        <v>650</v>
      </c>
      <c r="F90">
        <v>800</v>
      </c>
      <c r="G90">
        <v>850</v>
      </c>
      <c r="H90">
        <v>875</v>
      </c>
    </row>
    <row r="91" spans="1:8" x14ac:dyDescent="0.25">
      <c r="A91" s="10">
        <v>90</v>
      </c>
      <c r="B91" t="s">
        <v>212</v>
      </c>
      <c r="C91" s="2" t="s">
        <v>215</v>
      </c>
      <c r="D91" s="1" t="s">
        <v>238</v>
      </c>
    </row>
    <row r="92" spans="1:8" x14ac:dyDescent="0.25">
      <c r="A92" s="10">
        <v>91</v>
      </c>
      <c r="B92" t="s">
        <v>212</v>
      </c>
      <c r="C92" s="2" t="s">
        <v>214</v>
      </c>
      <c r="D92" s="1" t="s">
        <v>238</v>
      </c>
      <c r="E92">
        <v>725</v>
      </c>
      <c r="F92">
        <v>900</v>
      </c>
      <c r="G92">
        <v>950</v>
      </c>
      <c r="H92">
        <v>975</v>
      </c>
    </row>
    <row r="93" spans="1:8" x14ac:dyDescent="0.25">
      <c r="A93" s="10">
        <v>92</v>
      </c>
      <c r="B93" t="s">
        <v>224</v>
      </c>
      <c r="C93" s="2" t="s">
        <v>219</v>
      </c>
      <c r="D93" s="1" t="s">
        <v>238</v>
      </c>
      <c r="E93">
        <v>260</v>
      </c>
      <c r="F93">
        <v>450</v>
      </c>
      <c r="G93">
        <v>480</v>
      </c>
      <c r="H93">
        <v>495</v>
      </c>
    </row>
    <row r="94" spans="1:8" x14ac:dyDescent="0.25">
      <c r="A94" s="10">
        <v>93</v>
      </c>
      <c r="B94" t="s">
        <v>224</v>
      </c>
      <c r="C94" s="2" t="s">
        <v>220</v>
      </c>
      <c r="D94" s="1" t="s">
        <v>238</v>
      </c>
      <c r="E94">
        <v>305</v>
      </c>
      <c r="F94">
        <v>450</v>
      </c>
      <c r="G94">
        <v>500</v>
      </c>
      <c r="H94">
        <v>525</v>
      </c>
    </row>
    <row r="95" spans="1:8" x14ac:dyDescent="0.25">
      <c r="A95" s="10">
        <v>94</v>
      </c>
      <c r="B95" t="s">
        <v>224</v>
      </c>
      <c r="C95" s="2" t="s">
        <v>223</v>
      </c>
      <c r="D95" s="1" t="s">
        <v>238</v>
      </c>
      <c r="E95">
        <v>520</v>
      </c>
      <c r="F95">
        <v>800</v>
      </c>
      <c r="G95">
        <v>850</v>
      </c>
      <c r="H95">
        <v>875</v>
      </c>
    </row>
    <row r="96" spans="1:8" x14ac:dyDescent="0.25">
      <c r="A96" s="10">
        <v>95</v>
      </c>
      <c r="B96" t="s">
        <v>224</v>
      </c>
      <c r="C96" s="2" t="s">
        <v>221</v>
      </c>
      <c r="D96" s="1" t="s">
        <v>238</v>
      </c>
      <c r="E96">
        <v>1490</v>
      </c>
      <c r="F96">
        <v>1800</v>
      </c>
      <c r="G96">
        <v>1900</v>
      </c>
      <c r="H96">
        <v>1975</v>
      </c>
    </row>
    <row r="97" spans="1:8" x14ac:dyDescent="0.25">
      <c r="A97" s="10">
        <v>96</v>
      </c>
      <c r="B97" t="s">
        <v>224</v>
      </c>
      <c r="C97" s="2" t="s">
        <v>231</v>
      </c>
      <c r="D97" s="1" t="s">
        <v>238</v>
      </c>
      <c r="E97">
        <v>3555</v>
      </c>
      <c r="F97">
        <v>4100</v>
      </c>
      <c r="G97">
        <v>4300</v>
      </c>
      <c r="H97">
        <v>4575</v>
      </c>
    </row>
    <row r="98" spans="1:8" x14ac:dyDescent="0.25">
      <c r="A98" s="10">
        <v>97</v>
      </c>
      <c r="B98" t="s">
        <v>224</v>
      </c>
      <c r="C98" s="2" t="s">
        <v>230</v>
      </c>
      <c r="D98" s="1" t="s">
        <v>238</v>
      </c>
      <c r="E98">
        <v>3440</v>
      </c>
      <c r="F98">
        <v>3800</v>
      </c>
      <c r="G98">
        <v>3950</v>
      </c>
      <c r="H98">
        <v>4654</v>
      </c>
    </row>
    <row r="99" spans="1:8" x14ac:dyDescent="0.25">
      <c r="A99" s="10">
        <v>98</v>
      </c>
      <c r="B99" t="s">
        <v>224</v>
      </c>
      <c r="C99" s="2" t="s">
        <v>222</v>
      </c>
      <c r="D99" s="1" t="s">
        <v>238</v>
      </c>
    </row>
    <row r="100" spans="1:8" x14ac:dyDescent="0.25">
      <c r="A100" s="10">
        <v>99</v>
      </c>
      <c r="B100" t="s">
        <v>237</v>
      </c>
      <c r="C100" s="2" t="s">
        <v>233</v>
      </c>
      <c r="D100" s="1" t="s">
        <v>238</v>
      </c>
      <c r="E100">
        <v>250</v>
      </c>
      <c r="F100">
        <v>350</v>
      </c>
      <c r="G100">
        <v>380</v>
      </c>
      <c r="H100">
        <v>395</v>
      </c>
    </row>
    <row r="101" spans="1:8" x14ac:dyDescent="0.25">
      <c r="A101" s="10">
        <v>100</v>
      </c>
      <c r="B101" t="s">
        <v>237</v>
      </c>
      <c r="C101" s="2" t="s">
        <v>234</v>
      </c>
      <c r="D101" s="1" t="s">
        <v>238</v>
      </c>
      <c r="E101">
        <v>30</v>
      </c>
      <c r="F101">
        <v>70</v>
      </c>
      <c r="G101">
        <v>80</v>
      </c>
      <c r="H101">
        <v>90</v>
      </c>
    </row>
    <row r="102" spans="1:8" x14ac:dyDescent="0.25">
      <c r="A102" s="10">
        <v>101</v>
      </c>
      <c r="B102" t="s">
        <v>237</v>
      </c>
      <c r="C102" s="2" t="s">
        <v>235</v>
      </c>
      <c r="D102" s="1" t="s">
        <v>238</v>
      </c>
      <c r="E102">
        <v>380</v>
      </c>
      <c r="F102">
        <v>450</v>
      </c>
      <c r="G102">
        <v>480</v>
      </c>
      <c r="H102">
        <v>495</v>
      </c>
    </row>
    <row r="103" spans="1:8" x14ac:dyDescent="0.25">
      <c r="A103" s="10">
        <v>102</v>
      </c>
      <c r="B103" t="s">
        <v>237</v>
      </c>
      <c r="C103" s="2" t="s">
        <v>236</v>
      </c>
      <c r="D103" s="1" t="s">
        <v>238</v>
      </c>
      <c r="E103">
        <v>60</v>
      </c>
      <c r="F103">
        <v>100</v>
      </c>
      <c r="G103">
        <v>110</v>
      </c>
      <c r="H103">
        <v>120</v>
      </c>
    </row>
    <row r="104" spans="1:8" x14ac:dyDescent="0.25">
      <c r="C104" s="2"/>
    </row>
    <row r="105" spans="1:8" x14ac:dyDescent="0.25">
      <c r="A105" s="10">
        <v>103</v>
      </c>
      <c r="B105" t="s">
        <v>218</v>
      </c>
      <c r="C105" s="2" t="s">
        <v>197</v>
      </c>
      <c r="D105" s="1" t="s">
        <v>99</v>
      </c>
      <c r="E105">
        <v>296</v>
      </c>
      <c r="F105">
        <v>360</v>
      </c>
      <c r="G105">
        <v>380</v>
      </c>
      <c r="H105">
        <v>400</v>
      </c>
    </row>
    <row r="106" spans="1:8" x14ac:dyDescent="0.25">
      <c r="A106" s="10">
        <v>104</v>
      </c>
      <c r="B106" t="s">
        <v>218</v>
      </c>
      <c r="C106" s="2" t="s">
        <v>198</v>
      </c>
      <c r="D106" s="1" t="s">
        <v>99</v>
      </c>
      <c r="E106">
        <v>148</v>
      </c>
      <c r="F106">
        <v>200</v>
      </c>
      <c r="G106">
        <v>200</v>
      </c>
      <c r="H106">
        <v>210</v>
      </c>
    </row>
    <row r="107" spans="1:8" x14ac:dyDescent="0.25">
      <c r="A107" s="10">
        <v>105</v>
      </c>
      <c r="B107" t="s">
        <v>218</v>
      </c>
      <c r="C107" s="2" t="s">
        <v>199</v>
      </c>
      <c r="D107" s="1" t="s">
        <v>99</v>
      </c>
      <c r="E107">
        <v>74</v>
      </c>
      <c r="F107">
        <v>100</v>
      </c>
      <c r="G107">
        <v>100</v>
      </c>
      <c r="H107">
        <v>110</v>
      </c>
    </row>
    <row r="108" spans="1:8" x14ac:dyDescent="0.25">
      <c r="A108" s="10">
        <v>106</v>
      </c>
      <c r="B108" t="s">
        <v>218</v>
      </c>
      <c r="C108" s="2" t="s">
        <v>200</v>
      </c>
      <c r="D108" s="1" t="s">
        <v>99</v>
      </c>
      <c r="E108">
        <v>29.6</v>
      </c>
      <c r="F108">
        <v>50</v>
      </c>
      <c r="G108">
        <v>50</v>
      </c>
      <c r="H108">
        <v>60</v>
      </c>
    </row>
    <row r="109" spans="1:8" x14ac:dyDescent="0.25">
      <c r="A109" s="10">
        <v>107</v>
      </c>
      <c r="B109" t="s">
        <v>218</v>
      </c>
      <c r="C109" s="2" t="s">
        <v>201</v>
      </c>
      <c r="D109" s="1" t="s">
        <v>99</v>
      </c>
      <c r="E109">
        <v>15</v>
      </c>
      <c r="F109">
        <v>30</v>
      </c>
      <c r="G109">
        <v>30</v>
      </c>
      <c r="H109">
        <v>35</v>
      </c>
    </row>
    <row r="110" spans="1:8" x14ac:dyDescent="0.25">
      <c r="A110" s="10">
        <v>108</v>
      </c>
      <c r="B110" t="s">
        <v>218</v>
      </c>
      <c r="C110" s="2" t="s">
        <v>202</v>
      </c>
      <c r="D110" s="1" t="s">
        <v>99</v>
      </c>
      <c r="E110">
        <v>312</v>
      </c>
      <c r="F110">
        <v>400</v>
      </c>
      <c r="G110">
        <v>450</v>
      </c>
      <c r="H110">
        <v>460</v>
      </c>
    </row>
    <row r="111" spans="1:8" x14ac:dyDescent="0.25">
      <c r="A111" s="10">
        <v>109</v>
      </c>
      <c r="B111" t="s">
        <v>218</v>
      </c>
      <c r="C111" s="2" t="s">
        <v>203</v>
      </c>
      <c r="D111" s="1" t="s">
        <v>99</v>
      </c>
      <c r="E111">
        <v>156</v>
      </c>
      <c r="F111">
        <v>230</v>
      </c>
      <c r="G111">
        <v>230</v>
      </c>
      <c r="H111">
        <v>240</v>
      </c>
    </row>
    <row r="112" spans="1:8" x14ac:dyDescent="0.25">
      <c r="A112" s="10">
        <v>110</v>
      </c>
      <c r="B112" t="s">
        <v>218</v>
      </c>
      <c r="C112" s="2" t="s">
        <v>204</v>
      </c>
      <c r="D112" s="1" t="s">
        <v>99</v>
      </c>
      <c r="E112">
        <v>100</v>
      </c>
      <c r="F112">
        <v>130</v>
      </c>
      <c r="G112">
        <v>130</v>
      </c>
      <c r="H112">
        <v>140</v>
      </c>
    </row>
    <row r="113" spans="1:8" x14ac:dyDescent="0.25">
      <c r="A113" s="10">
        <v>111</v>
      </c>
      <c r="B113" t="s">
        <v>218</v>
      </c>
      <c r="C113" s="2" t="s">
        <v>205</v>
      </c>
      <c r="D113" s="1" t="s">
        <v>99</v>
      </c>
      <c r="E113">
        <v>20</v>
      </c>
      <c r="F113">
        <v>50</v>
      </c>
      <c r="G113">
        <v>60</v>
      </c>
      <c r="H113">
        <v>70</v>
      </c>
    </row>
    <row r="114" spans="1:8" x14ac:dyDescent="0.25">
      <c r="A114" s="10">
        <v>112</v>
      </c>
      <c r="B114" t="s">
        <v>218</v>
      </c>
      <c r="C114" s="2" t="s">
        <v>206</v>
      </c>
      <c r="D114" s="1" t="s">
        <v>99</v>
      </c>
      <c r="E114">
        <v>15</v>
      </c>
      <c r="F114">
        <v>30</v>
      </c>
      <c r="G114">
        <v>40</v>
      </c>
      <c r="H114">
        <v>45</v>
      </c>
    </row>
    <row r="115" spans="1:8" x14ac:dyDescent="0.25">
      <c r="A115" s="10">
        <v>113</v>
      </c>
      <c r="B115" t="s">
        <v>218</v>
      </c>
      <c r="C115" s="2" t="s">
        <v>225</v>
      </c>
      <c r="D115" s="1" t="s">
        <v>99</v>
      </c>
      <c r="E115">
        <v>65</v>
      </c>
      <c r="F115">
        <v>120</v>
      </c>
      <c r="G115">
        <v>140</v>
      </c>
      <c r="H115">
        <v>150</v>
      </c>
    </row>
    <row r="116" spans="1:8" x14ac:dyDescent="0.25">
      <c r="A116" s="10">
        <v>114</v>
      </c>
      <c r="B116" t="s">
        <v>218</v>
      </c>
      <c r="C116" s="2" t="s">
        <v>226</v>
      </c>
      <c r="D116" s="1" t="s">
        <v>99</v>
      </c>
      <c r="E116">
        <v>65</v>
      </c>
      <c r="F116">
        <v>120</v>
      </c>
      <c r="G116">
        <v>140</v>
      </c>
      <c r="H116">
        <v>150</v>
      </c>
    </row>
    <row r="117" spans="1:8" x14ac:dyDescent="0.25">
      <c r="A117" s="10">
        <v>115</v>
      </c>
      <c r="B117" t="s">
        <v>218</v>
      </c>
      <c r="C117" s="2" t="s">
        <v>227</v>
      </c>
      <c r="D117" s="1" t="s">
        <v>99</v>
      </c>
      <c r="E117">
        <v>65</v>
      </c>
      <c r="F117">
        <v>120</v>
      </c>
      <c r="G117">
        <v>140</v>
      </c>
      <c r="H117">
        <v>150</v>
      </c>
    </row>
    <row r="118" spans="1:8" x14ac:dyDescent="0.25">
      <c r="A118" s="10">
        <v>116</v>
      </c>
      <c r="B118" t="s">
        <v>218</v>
      </c>
      <c r="C118" s="2" t="s">
        <v>228</v>
      </c>
      <c r="D118" s="1" t="s">
        <v>99</v>
      </c>
      <c r="E118">
        <v>450</v>
      </c>
      <c r="F118">
        <v>530</v>
      </c>
      <c r="G118">
        <v>550</v>
      </c>
      <c r="H118">
        <v>600</v>
      </c>
    </row>
    <row r="119" spans="1:8" x14ac:dyDescent="0.25">
      <c r="A119" s="10">
        <v>117</v>
      </c>
      <c r="B119" t="s">
        <v>218</v>
      </c>
      <c r="C119" s="2" t="s">
        <v>229</v>
      </c>
      <c r="D119" s="1" t="s">
        <v>99</v>
      </c>
      <c r="E119">
        <v>60</v>
      </c>
      <c r="F119">
        <v>120</v>
      </c>
      <c r="G119">
        <v>140</v>
      </c>
      <c r="H119">
        <v>150</v>
      </c>
    </row>
    <row r="120" spans="1:8" x14ac:dyDescent="0.25">
      <c r="A120" s="10">
        <v>118</v>
      </c>
      <c r="B120" t="s">
        <v>218</v>
      </c>
      <c r="C120" s="2" t="s">
        <v>232</v>
      </c>
      <c r="D120" s="1" t="s">
        <v>99</v>
      </c>
      <c r="E120">
        <v>70</v>
      </c>
      <c r="F120">
        <v>120</v>
      </c>
      <c r="G120">
        <v>140</v>
      </c>
      <c r="H120">
        <v>150</v>
      </c>
    </row>
    <row r="121" spans="1:8" x14ac:dyDescent="0.25">
      <c r="A121" s="10">
        <v>119</v>
      </c>
      <c r="B121" t="s">
        <v>94</v>
      </c>
      <c r="C121" s="2" t="s">
        <v>207</v>
      </c>
      <c r="D121" s="1" t="s">
        <v>99</v>
      </c>
      <c r="E121">
        <v>30</v>
      </c>
      <c r="F121">
        <v>50</v>
      </c>
      <c r="G121">
        <v>50</v>
      </c>
      <c r="H121">
        <v>55</v>
      </c>
    </row>
    <row r="122" spans="1:8" x14ac:dyDescent="0.25">
      <c r="A122" s="10">
        <v>120</v>
      </c>
      <c r="B122" t="s">
        <v>94</v>
      </c>
      <c r="C122" s="2" t="s">
        <v>92</v>
      </c>
      <c r="D122" s="1" t="s">
        <v>99</v>
      </c>
      <c r="E122">
        <v>1550</v>
      </c>
      <c r="F122">
        <v>1600</v>
      </c>
      <c r="G122">
        <v>1600</v>
      </c>
      <c r="H122">
        <v>2200</v>
      </c>
    </row>
    <row r="123" spans="1:8" x14ac:dyDescent="0.25">
      <c r="A123" s="10">
        <v>121</v>
      </c>
      <c r="B123" t="s">
        <v>94</v>
      </c>
      <c r="C123" s="2" t="s">
        <v>93</v>
      </c>
      <c r="D123" s="1" t="s">
        <v>99</v>
      </c>
      <c r="E123">
        <v>1650</v>
      </c>
      <c r="F123">
        <v>1700</v>
      </c>
      <c r="G123">
        <v>1700</v>
      </c>
      <c r="H123">
        <v>2200</v>
      </c>
    </row>
    <row r="124" spans="1:8" x14ac:dyDescent="0.25">
      <c r="A124" s="10">
        <v>122</v>
      </c>
      <c r="B124" t="s">
        <v>94</v>
      </c>
      <c r="C124" s="2" t="s">
        <v>98</v>
      </c>
      <c r="D124" s="1" t="s">
        <v>99</v>
      </c>
      <c r="E124">
        <v>1700</v>
      </c>
      <c r="F124">
        <v>1750</v>
      </c>
      <c r="G124">
        <v>1750</v>
      </c>
      <c r="H124">
        <v>2200</v>
      </c>
    </row>
    <row r="126" spans="1:8" x14ac:dyDescent="0.25">
      <c r="A126" s="10">
        <v>123</v>
      </c>
      <c r="B126" t="s">
        <v>275</v>
      </c>
      <c r="C126" s="2" t="s">
        <v>240</v>
      </c>
      <c r="D126" s="1" t="s">
        <v>3015</v>
      </c>
      <c r="E126">
        <v>258</v>
      </c>
      <c r="F126">
        <v>280</v>
      </c>
      <c r="G126">
        <v>300</v>
      </c>
      <c r="H126">
        <v>320</v>
      </c>
    </row>
    <row r="127" spans="1:8" x14ac:dyDescent="0.25">
      <c r="A127" s="10">
        <v>124</v>
      </c>
      <c r="B127" t="s">
        <v>275</v>
      </c>
      <c r="C127" s="2" t="s">
        <v>255</v>
      </c>
      <c r="D127" s="1" t="s">
        <v>239</v>
      </c>
      <c r="E127">
        <v>780</v>
      </c>
      <c r="F127">
        <v>830</v>
      </c>
      <c r="G127">
        <v>895</v>
      </c>
      <c r="H127">
        <v>920</v>
      </c>
    </row>
    <row r="128" spans="1:8" x14ac:dyDescent="0.25">
      <c r="A128" s="10">
        <v>125</v>
      </c>
      <c r="B128" t="s">
        <v>275</v>
      </c>
      <c r="C128" s="2" t="s">
        <v>241</v>
      </c>
      <c r="D128" s="1" t="s">
        <v>239</v>
      </c>
      <c r="E128">
        <v>423</v>
      </c>
      <c r="F128">
        <v>480</v>
      </c>
      <c r="G128">
        <v>500</v>
      </c>
      <c r="H128">
        <v>520</v>
      </c>
    </row>
    <row r="129" spans="1:8" x14ac:dyDescent="0.25">
      <c r="A129" s="10">
        <v>126</v>
      </c>
      <c r="B129" t="s">
        <v>275</v>
      </c>
      <c r="C129" s="2" t="s">
        <v>256</v>
      </c>
      <c r="D129" s="1" t="s">
        <v>239</v>
      </c>
      <c r="E129">
        <v>870</v>
      </c>
      <c r="F129">
        <v>1100</v>
      </c>
      <c r="G129">
        <v>1125</v>
      </c>
      <c r="H129">
        <v>1140</v>
      </c>
    </row>
    <row r="130" spans="1:8" x14ac:dyDescent="0.25">
      <c r="A130" s="10">
        <v>127</v>
      </c>
      <c r="B130" t="s">
        <v>275</v>
      </c>
      <c r="C130" s="2" t="s">
        <v>242</v>
      </c>
      <c r="D130" s="1" t="s">
        <v>239</v>
      </c>
      <c r="E130">
        <v>1300</v>
      </c>
      <c r="F130">
        <v>1450</v>
      </c>
      <c r="G130">
        <v>1495</v>
      </c>
      <c r="H130">
        <v>1675</v>
      </c>
    </row>
    <row r="131" spans="1:8" x14ac:dyDescent="0.25">
      <c r="A131" s="10">
        <v>128</v>
      </c>
      <c r="B131" t="s">
        <v>275</v>
      </c>
      <c r="C131" s="2" t="s">
        <v>257</v>
      </c>
      <c r="D131" s="1" t="s">
        <v>239</v>
      </c>
      <c r="E131">
        <v>587</v>
      </c>
      <c r="F131">
        <v>650</v>
      </c>
      <c r="G131">
        <v>695</v>
      </c>
      <c r="H131">
        <v>720</v>
      </c>
    </row>
    <row r="132" spans="1:8" x14ac:dyDescent="0.25">
      <c r="A132" s="10">
        <v>129</v>
      </c>
      <c r="B132" t="s">
        <v>275</v>
      </c>
      <c r="C132" s="2" t="s">
        <v>243</v>
      </c>
      <c r="D132" s="1" t="s">
        <v>239</v>
      </c>
      <c r="E132">
        <v>1019</v>
      </c>
      <c r="F132">
        <v>1350</v>
      </c>
      <c r="G132">
        <v>1380</v>
      </c>
      <c r="H132">
        <v>1395</v>
      </c>
    </row>
    <row r="133" spans="1:8" x14ac:dyDescent="0.25">
      <c r="A133" s="10">
        <v>130</v>
      </c>
      <c r="B133" t="s">
        <v>275</v>
      </c>
      <c r="C133" s="2" t="s">
        <v>244</v>
      </c>
      <c r="D133" s="1" t="s">
        <v>239</v>
      </c>
      <c r="E133">
        <v>1480</v>
      </c>
      <c r="F133">
        <v>1700</v>
      </c>
      <c r="G133">
        <v>1775</v>
      </c>
      <c r="H133">
        <v>1785</v>
      </c>
    </row>
    <row r="134" spans="1:8" x14ac:dyDescent="0.25">
      <c r="A134" s="10">
        <v>131</v>
      </c>
      <c r="B134" t="s">
        <v>275</v>
      </c>
      <c r="C134" s="2" t="s">
        <v>245</v>
      </c>
      <c r="D134" s="1" t="s">
        <v>239</v>
      </c>
      <c r="E134">
        <v>2980</v>
      </c>
      <c r="F134">
        <v>3500</v>
      </c>
      <c r="G134">
        <v>3680</v>
      </c>
      <c r="H134">
        <v>3690</v>
      </c>
    </row>
    <row r="135" spans="1:8" x14ac:dyDescent="0.25">
      <c r="A135" s="10">
        <v>132</v>
      </c>
      <c r="B135" t="s">
        <v>275</v>
      </c>
      <c r="C135" s="2" t="s">
        <v>246</v>
      </c>
      <c r="D135" s="1" t="s">
        <v>239</v>
      </c>
      <c r="E135">
        <v>680</v>
      </c>
      <c r="F135">
        <v>750</v>
      </c>
      <c r="G135">
        <v>780</v>
      </c>
      <c r="H135">
        <v>800</v>
      </c>
    </row>
    <row r="136" spans="1:8" x14ac:dyDescent="0.25">
      <c r="A136" s="10">
        <v>133</v>
      </c>
      <c r="B136" t="s">
        <v>275</v>
      </c>
      <c r="C136" s="2" t="s">
        <v>247</v>
      </c>
      <c r="D136" s="1" t="s">
        <v>239</v>
      </c>
      <c r="E136">
        <v>1550</v>
      </c>
      <c r="F136">
        <v>1900</v>
      </c>
      <c r="G136">
        <v>1980</v>
      </c>
      <c r="H136">
        <v>2000</v>
      </c>
    </row>
    <row r="137" spans="1:8" x14ac:dyDescent="0.25">
      <c r="A137" s="10">
        <v>134</v>
      </c>
      <c r="B137" t="s">
        <v>275</v>
      </c>
      <c r="C137" s="2" t="s">
        <v>248</v>
      </c>
      <c r="D137" s="1" t="s">
        <v>239</v>
      </c>
      <c r="E137">
        <v>2690</v>
      </c>
      <c r="F137">
        <v>3400</v>
      </c>
      <c r="G137">
        <v>3500</v>
      </c>
      <c r="H137">
        <v>3650</v>
      </c>
    </row>
    <row r="138" spans="1:8" x14ac:dyDescent="0.25">
      <c r="A138" s="10">
        <v>135</v>
      </c>
      <c r="B138" t="s">
        <v>275</v>
      </c>
      <c r="C138" s="2" t="s">
        <v>249</v>
      </c>
      <c r="D138" s="1" t="s">
        <v>239</v>
      </c>
      <c r="E138">
        <v>4010</v>
      </c>
      <c r="F138">
        <v>4900</v>
      </c>
      <c r="G138">
        <v>4950</v>
      </c>
      <c r="H138">
        <v>5100</v>
      </c>
    </row>
    <row r="139" spans="1:8" x14ac:dyDescent="0.25">
      <c r="A139" s="10">
        <v>136</v>
      </c>
      <c r="B139" t="s">
        <v>275</v>
      </c>
      <c r="C139" s="2" t="s">
        <v>250</v>
      </c>
      <c r="D139" s="1" t="s">
        <v>239</v>
      </c>
      <c r="E139">
        <v>1144</v>
      </c>
      <c r="F139">
        <v>1300</v>
      </c>
      <c r="G139">
        <v>1380</v>
      </c>
      <c r="H139">
        <v>1550</v>
      </c>
    </row>
    <row r="140" spans="1:8" x14ac:dyDescent="0.25">
      <c r="A140" s="10">
        <v>137</v>
      </c>
      <c r="B140" t="s">
        <v>275</v>
      </c>
      <c r="C140" s="2" t="s">
        <v>251</v>
      </c>
      <c r="D140" s="1" t="s">
        <v>239</v>
      </c>
    </row>
    <row r="141" spans="1:8" x14ac:dyDescent="0.25">
      <c r="A141" s="10">
        <v>138</v>
      </c>
      <c r="B141" t="s">
        <v>275</v>
      </c>
      <c r="C141" s="2" t="s">
        <v>252</v>
      </c>
      <c r="D141" s="1" t="s">
        <v>239</v>
      </c>
      <c r="E141">
        <v>3250</v>
      </c>
      <c r="F141">
        <v>3600</v>
      </c>
      <c r="G141">
        <v>3680</v>
      </c>
      <c r="H141">
        <v>3720</v>
      </c>
    </row>
    <row r="142" spans="1:8" x14ac:dyDescent="0.25">
      <c r="A142" s="10">
        <v>139</v>
      </c>
      <c r="B142" t="s">
        <v>275</v>
      </c>
      <c r="C142" s="2" t="s">
        <v>253</v>
      </c>
      <c r="D142" s="1" t="s">
        <v>239</v>
      </c>
      <c r="E142">
        <v>4271</v>
      </c>
      <c r="F142">
        <v>5500</v>
      </c>
      <c r="G142">
        <v>5950</v>
      </c>
      <c r="H142">
        <v>6120</v>
      </c>
    </row>
    <row r="143" spans="1:8" ht="15.75" customHeight="1" x14ac:dyDescent="0.25">
      <c r="A143" s="10">
        <v>140</v>
      </c>
      <c r="B143" t="s">
        <v>275</v>
      </c>
      <c r="C143" s="2" t="s">
        <v>254</v>
      </c>
      <c r="D143" s="1" t="s">
        <v>239</v>
      </c>
      <c r="E143">
        <v>5244</v>
      </c>
      <c r="F143">
        <v>6300</v>
      </c>
      <c r="G143">
        <v>6350</v>
      </c>
      <c r="H143">
        <v>6350</v>
      </c>
    </row>
    <row r="144" spans="1:8" x14ac:dyDescent="0.25">
      <c r="A144" s="10">
        <v>141</v>
      </c>
      <c r="B144" t="s">
        <v>276</v>
      </c>
      <c r="C144" s="2" t="s">
        <v>258</v>
      </c>
      <c r="D144" s="1" t="s">
        <v>239</v>
      </c>
      <c r="E144">
        <v>362</v>
      </c>
      <c r="F144">
        <v>390</v>
      </c>
      <c r="G144">
        <v>400</v>
      </c>
      <c r="H144">
        <v>420</v>
      </c>
    </row>
    <row r="145" spans="1:8" x14ac:dyDescent="0.25">
      <c r="A145" s="10">
        <v>142</v>
      </c>
      <c r="B145" t="s">
        <v>276</v>
      </c>
      <c r="C145" s="2" t="s">
        <v>259</v>
      </c>
      <c r="D145" s="1" t="s">
        <v>239</v>
      </c>
      <c r="E145">
        <v>995</v>
      </c>
      <c r="F145">
        <v>1100</v>
      </c>
      <c r="G145">
        <v>1175</v>
      </c>
      <c r="H145">
        <v>1200</v>
      </c>
    </row>
    <row r="146" spans="1:8" x14ac:dyDescent="0.25">
      <c r="A146" s="10">
        <v>143</v>
      </c>
      <c r="B146" t="s">
        <v>276</v>
      </c>
      <c r="C146" s="2" t="s">
        <v>260</v>
      </c>
      <c r="D146" s="1" t="s">
        <v>239</v>
      </c>
      <c r="E146">
        <v>600</v>
      </c>
      <c r="F146">
        <v>650</v>
      </c>
      <c r="G146">
        <v>680</v>
      </c>
      <c r="H146">
        <v>700</v>
      </c>
    </row>
    <row r="147" spans="1:8" x14ac:dyDescent="0.25">
      <c r="A147" s="10">
        <v>144</v>
      </c>
      <c r="B147" t="s">
        <v>276</v>
      </c>
      <c r="C147" s="2" t="s">
        <v>261</v>
      </c>
      <c r="D147" s="1" t="s">
        <v>239</v>
      </c>
    </row>
    <row r="148" spans="1:8" x14ac:dyDescent="0.25">
      <c r="A148" s="10">
        <v>145</v>
      </c>
      <c r="B148" t="s">
        <v>276</v>
      </c>
      <c r="C148" s="2" t="s">
        <v>262</v>
      </c>
      <c r="D148" s="1" t="s">
        <v>239</v>
      </c>
      <c r="E148">
        <v>1275</v>
      </c>
      <c r="F148">
        <v>1450</v>
      </c>
      <c r="G148">
        <v>1580</v>
      </c>
      <c r="H148">
        <v>1605</v>
      </c>
    </row>
    <row r="149" spans="1:8" x14ac:dyDescent="0.25">
      <c r="A149" s="10">
        <v>146</v>
      </c>
      <c r="B149" t="s">
        <v>276</v>
      </c>
      <c r="C149" s="2" t="s">
        <v>263</v>
      </c>
      <c r="D149" s="1" t="s">
        <v>239</v>
      </c>
    </row>
    <row r="150" spans="1:8" x14ac:dyDescent="0.25">
      <c r="A150" s="10">
        <v>147</v>
      </c>
      <c r="B150" t="s">
        <v>276</v>
      </c>
      <c r="C150" s="2" t="s">
        <v>264</v>
      </c>
      <c r="D150" s="1" t="s">
        <v>239</v>
      </c>
      <c r="E150">
        <v>968</v>
      </c>
      <c r="F150">
        <v>1250</v>
      </c>
      <c r="G150">
        <v>1480</v>
      </c>
      <c r="H150">
        <v>1500</v>
      </c>
    </row>
    <row r="151" spans="1:8" x14ac:dyDescent="0.25">
      <c r="A151" s="10">
        <v>148</v>
      </c>
      <c r="B151" t="s">
        <v>276</v>
      </c>
      <c r="C151" s="2" t="s">
        <v>265</v>
      </c>
      <c r="D151" s="1" t="s">
        <v>239</v>
      </c>
    </row>
    <row r="152" spans="1:8" x14ac:dyDescent="0.25">
      <c r="A152" s="10">
        <v>149</v>
      </c>
      <c r="B152" t="s">
        <v>276</v>
      </c>
      <c r="C152" s="2" t="s">
        <v>266</v>
      </c>
      <c r="D152" s="1" t="s">
        <v>239</v>
      </c>
    </row>
    <row r="153" spans="1:8" x14ac:dyDescent="0.25">
      <c r="A153" s="10">
        <v>150</v>
      </c>
      <c r="B153" t="s">
        <v>276</v>
      </c>
      <c r="C153" s="2" t="s">
        <v>267</v>
      </c>
      <c r="D153" s="1" t="s">
        <v>239</v>
      </c>
    </row>
    <row r="154" spans="1:8" x14ac:dyDescent="0.25">
      <c r="A154" s="10">
        <v>151</v>
      </c>
      <c r="B154" t="s">
        <v>276</v>
      </c>
      <c r="C154" s="2" t="s">
        <v>268</v>
      </c>
      <c r="D154" s="1" t="s">
        <v>239</v>
      </c>
      <c r="E154">
        <v>1575</v>
      </c>
      <c r="F154">
        <v>1750</v>
      </c>
      <c r="G154">
        <v>1980</v>
      </c>
      <c r="H154">
        <v>2100</v>
      </c>
    </row>
    <row r="155" spans="1:8" x14ac:dyDescent="0.25">
      <c r="A155" s="10">
        <v>152</v>
      </c>
      <c r="B155" t="s">
        <v>276</v>
      </c>
      <c r="C155" s="2" t="s">
        <v>269</v>
      </c>
      <c r="D155" s="1" t="s">
        <v>239</v>
      </c>
    </row>
    <row r="156" spans="1:8" x14ac:dyDescent="0.25">
      <c r="A156" s="10">
        <v>153</v>
      </c>
      <c r="B156" t="s">
        <v>276</v>
      </c>
      <c r="C156" s="2" t="s">
        <v>270</v>
      </c>
      <c r="D156" s="1" t="s">
        <v>239</v>
      </c>
    </row>
    <row r="157" spans="1:8" x14ac:dyDescent="0.25">
      <c r="A157" s="10">
        <v>154</v>
      </c>
      <c r="B157" t="s">
        <v>276</v>
      </c>
      <c r="C157" s="2" t="s">
        <v>271</v>
      </c>
      <c r="D157" s="1" t="s">
        <v>239</v>
      </c>
    </row>
    <row r="158" spans="1:8" x14ac:dyDescent="0.25">
      <c r="A158" s="10">
        <v>155</v>
      </c>
      <c r="B158" t="s">
        <v>276</v>
      </c>
      <c r="C158" s="2" t="s">
        <v>288</v>
      </c>
      <c r="D158" s="1" t="s">
        <v>239</v>
      </c>
      <c r="E158">
        <v>3154</v>
      </c>
      <c r="F158">
        <v>3400</v>
      </c>
      <c r="G158">
        <v>3650</v>
      </c>
      <c r="H158">
        <v>3680</v>
      </c>
    </row>
    <row r="159" spans="1:8" x14ac:dyDescent="0.25">
      <c r="A159" s="10">
        <v>156</v>
      </c>
      <c r="B159" t="s">
        <v>276</v>
      </c>
      <c r="C159" s="2" t="s">
        <v>272</v>
      </c>
      <c r="D159" s="1" t="s">
        <v>239</v>
      </c>
    </row>
    <row r="160" spans="1:8" x14ac:dyDescent="0.25">
      <c r="A160" s="10">
        <v>157</v>
      </c>
      <c r="B160" t="s">
        <v>276</v>
      </c>
      <c r="C160" s="2" t="s">
        <v>273</v>
      </c>
      <c r="D160" s="1" t="s">
        <v>239</v>
      </c>
    </row>
    <row r="161" spans="1:8" x14ac:dyDescent="0.25">
      <c r="A161" s="10">
        <v>158</v>
      </c>
      <c r="B161" t="s">
        <v>276</v>
      </c>
      <c r="C161" s="2" t="s">
        <v>274</v>
      </c>
      <c r="D161" s="1" t="s">
        <v>239</v>
      </c>
    </row>
    <row r="162" spans="1:8" x14ac:dyDescent="0.25">
      <c r="A162" s="10">
        <v>159</v>
      </c>
      <c r="B162" t="s">
        <v>279</v>
      </c>
      <c r="C162" s="2" t="s">
        <v>277</v>
      </c>
      <c r="D162" s="1" t="s">
        <v>239</v>
      </c>
      <c r="E162">
        <v>128</v>
      </c>
      <c r="F162">
        <v>140</v>
      </c>
      <c r="G162">
        <v>165</v>
      </c>
      <c r="H162">
        <v>175</v>
      </c>
    </row>
    <row r="163" spans="1:8" x14ac:dyDescent="0.25">
      <c r="A163" s="10">
        <v>160</v>
      </c>
      <c r="B163" t="s">
        <v>279</v>
      </c>
      <c r="C163" s="2" t="s">
        <v>278</v>
      </c>
      <c r="D163" s="1" t="s">
        <v>239</v>
      </c>
      <c r="E163">
        <v>149</v>
      </c>
      <c r="F163">
        <v>180</v>
      </c>
      <c r="G163">
        <v>225</v>
      </c>
      <c r="H163">
        <v>250</v>
      </c>
    </row>
    <row r="164" spans="1:8" x14ac:dyDescent="0.25">
      <c r="A164" s="10">
        <v>161</v>
      </c>
      <c r="B164" t="s">
        <v>279</v>
      </c>
      <c r="C164" s="2" t="s">
        <v>280</v>
      </c>
      <c r="D164" s="1" t="s">
        <v>239</v>
      </c>
      <c r="E164">
        <v>210</v>
      </c>
      <c r="F164">
        <v>250</v>
      </c>
      <c r="G164">
        <v>280</v>
      </c>
      <c r="H164">
        <v>300</v>
      </c>
    </row>
    <row r="165" spans="1:8" x14ac:dyDescent="0.25">
      <c r="A165" s="10">
        <v>162</v>
      </c>
      <c r="B165" t="s">
        <v>279</v>
      </c>
      <c r="C165" s="2" t="s">
        <v>281</v>
      </c>
      <c r="D165" s="1" t="s">
        <v>239</v>
      </c>
      <c r="E165">
        <v>380</v>
      </c>
      <c r="F165">
        <v>500</v>
      </c>
      <c r="G165">
        <v>600</v>
      </c>
      <c r="H165">
        <v>620</v>
      </c>
    </row>
    <row r="166" spans="1:8" x14ac:dyDescent="0.25">
      <c r="A166" s="10">
        <v>163</v>
      </c>
      <c r="B166" t="s">
        <v>279</v>
      </c>
      <c r="C166" s="2" t="s">
        <v>282</v>
      </c>
      <c r="D166" s="1" t="s">
        <v>239</v>
      </c>
      <c r="E166">
        <v>700</v>
      </c>
      <c r="F166">
        <v>880</v>
      </c>
      <c r="G166">
        <v>950</v>
      </c>
      <c r="H166">
        <v>975</v>
      </c>
    </row>
    <row r="167" spans="1:8" x14ac:dyDescent="0.25">
      <c r="A167" s="10">
        <v>164</v>
      </c>
      <c r="B167" t="s">
        <v>279</v>
      </c>
      <c r="C167" s="2" t="s">
        <v>283</v>
      </c>
      <c r="D167" s="1" t="s">
        <v>239</v>
      </c>
      <c r="E167">
        <v>480</v>
      </c>
      <c r="F167">
        <v>550</v>
      </c>
      <c r="G167">
        <v>650</v>
      </c>
      <c r="H167">
        <v>675</v>
      </c>
    </row>
    <row r="168" spans="1:8" x14ac:dyDescent="0.25">
      <c r="A168" s="10">
        <v>165</v>
      </c>
      <c r="B168" t="s">
        <v>279</v>
      </c>
      <c r="C168" s="2" t="s">
        <v>284</v>
      </c>
      <c r="D168" s="1" t="s">
        <v>239</v>
      </c>
      <c r="E168">
        <v>900</v>
      </c>
      <c r="F168">
        <v>1200</v>
      </c>
      <c r="G168">
        <v>1275</v>
      </c>
      <c r="H168">
        <v>1290</v>
      </c>
    </row>
    <row r="169" spans="1:8" x14ac:dyDescent="0.25">
      <c r="A169" s="10">
        <v>166</v>
      </c>
      <c r="B169" t="s">
        <v>279</v>
      </c>
      <c r="C169" s="2" t="s">
        <v>285</v>
      </c>
      <c r="D169" s="1" t="s">
        <v>239</v>
      </c>
      <c r="E169">
        <v>640</v>
      </c>
      <c r="F169">
        <v>750</v>
      </c>
      <c r="G169">
        <v>880</v>
      </c>
      <c r="H169">
        <v>900</v>
      </c>
    </row>
    <row r="170" spans="1:8" x14ac:dyDescent="0.25">
      <c r="A170" s="10">
        <v>167</v>
      </c>
      <c r="B170" t="s">
        <v>279</v>
      </c>
      <c r="C170" s="2" t="s">
        <v>286</v>
      </c>
      <c r="D170" s="1" t="s">
        <v>239</v>
      </c>
      <c r="E170">
        <v>1450</v>
      </c>
      <c r="F170">
        <v>1750</v>
      </c>
      <c r="G170">
        <v>1950</v>
      </c>
      <c r="H170">
        <v>1975</v>
      </c>
    </row>
    <row r="171" spans="1:8" x14ac:dyDescent="0.25">
      <c r="A171" s="10">
        <v>168</v>
      </c>
      <c r="B171" t="s">
        <v>279</v>
      </c>
      <c r="C171" s="2" t="s">
        <v>287</v>
      </c>
      <c r="D171" s="1" t="s">
        <v>239</v>
      </c>
      <c r="E171">
        <v>2150</v>
      </c>
      <c r="F171">
        <v>2600</v>
      </c>
      <c r="G171">
        <v>2950</v>
      </c>
      <c r="H171">
        <v>3000</v>
      </c>
    </row>
    <row r="172" spans="1:8" x14ac:dyDescent="0.25">
      <c r="A172" s="10">
        <v>169</v>
      </c>
      <c r="B172" t="s">
        <v>290</v>
      </c>
      <c r="C172" s="2" t="s">
        <v>289</v>
      </c>
      <c r="D172" s="1" t="s">
        <v>239</v>
      </c>
      <c r="E172">
        <v>390</v>
      </c>
      <c r="F172">
        <v>430</v>
      </c>
      <c r="G172">
        <v>450</v>
      </c>
      <c r="H172">
        <v>475</v>
      </c>
    </row>
    <row r="173" spans="1:8" x14ac:dyDescent="0.25">
      <c r="A173" s="10">
        <v>170</v>
      </c>
      <c r="B173" t="s">
        <v>295</v>
      </c>
      <c r="C173" s="2" t="s">
        <v>292</v>
      </c>
      <c r="D173" s="1" t="s">
        <v>291</v>
      </c>
      <c r="E173">
        <v>82</v>
      </c>
      <c r="F173">
        <v>95</v>
      </c>
      <c r="G173">
        <v>120</v>
      </c>
      <c r="H173">
        <v>125</v>
      </c>
    </row>
    <row r="174" spans="1:8" x14ac:dyDescent="0.25">
      <c r="A174" s="10">
        <v>171</v>
      </c>
      <c r="B174" t="s">
        <v>295</v>
      </c>
      <c r="C174" s="2" t="s">
        <v>296</v>
      </c>
      <c r="D174" s="1" t="s">
        <v>291</v>
      </c>
      <c r="E174">
        <v>120</v>
      </c>
      <c r="F174">
        <v>130</v>
      </c>
      <c r="G174">
        <v>150</v>
      </c>
      <c r="H174">
        <v>160</v>
      </c>
    </row>
    <row r="175" spans="1:8" x14ac:dyDescent="0.25">
      <c r="A175" s="10">
        <v>172</v>
      </c>
      <c r="B175" t="s">
        <v>295</v>
      </c>
      <c r="C175" s="2" t="s">
        <v>297</v>
      </c>
      <c r="D175" s="1" t="s">
        <v>291</v>
      </c>
      <c r="E175">
        <v>150</v>
      </c>
      <c r="F175">
        <v>160</v>
      </c>
      <c r="G175">
        <v>195</v>
      </c>
      <c r="H175">
        <v>205</v>
      </c>
    </row>
    <row r="176" spans="1:8" x14ac:dyDescent="0.25">
      <c r="A176" s="10">
        <v>173</v>
      </c>
      <c r="B176" t="s">
        <v>295</v>
      </c>
      <c r="C176" s="2" t="s">
        <v>293</v>
      </c>
      <c r="D176" s="1" t="s">
        <v>291</v>
      </c>
      <c r="E176">
        <v>105</v>
      </c>
      <c r="F176">
        <v>125</v>
      </c>
      <c r="G176">
        <v>150</v>
      </c>
      <c r="H176">
        <v>157</v>
      </c>
    </row>
    <row r="177" spans="1:8" x14ac:dyDescent="0.25">
      <c r="A177" s="10">
        <v>174</v>
      </c>
      <c r="B177" t="s">
        <v>295</v>
      </c>
      <c r="C177" s="2" t="s">
        <v>298</v>
      </c>
      <c r="D177" s="1" t="s">
        <v>291</v>
      </c>
      <c r="E177">
        <v>131</v>
      </c>
      <c r="F177">
        <v>140</v>
      </c>
      <c r="G177">
        <v>180</v>
      </c>
      <c r="H177">
        <v>200</v>
      </c>
    </row>
    <row r="178" spans="1:8" x14ac:dyDescent="0.25">
      <c r="A178" s="10">
        <v>175</v>
      </c>
      <c r="B178" t="s">
        <v>295</v>
      </c>
      <c r="C178" s="2" t="s">
        <v>300</v>
      </c>
      <c r="D178" s="1" t="s">
        <v>291</v>
      </c>
      <c r="E178">
        <v>255</v>
      </c>
      <c r="F178">
        <v>300</v>
      </c>
      <c r="G178">
        <v>330</v>
      </c>
      <c r="H178">
        <v>345</v>
      </c>
    </row>
    <row r="179" spans="1:8" x14ac:dyDescent="0.25">
      <c r="A179" s="10">
        <v>176</v>
      </c>
      <c r="B179" t="s">
        <v>295</v>
      </c>
      <c r="C179" s="2" t="s">
        <v>294</v>
      </c>
      <c r="D179" s="1" t="s">
        <v>291</v>
      </c>
      <c r="E179">
        <v>160</v>
      </c>
      <c r="F179">
        <v>190</v>
      </c>
      <c r="G179">
        <v>220</v>
      </c>
      <c r="H179">
        <v>235</v>
      </c>
    </row>
    <row r="180" spans="1:8" x14ac:dyDescent="0.25">
      <c r="A180" s="10">
        <v>177</v>
      </c>
      <c r="B180" t="s">
        <v>295</v>
      </c>
      <c r="C180" s="2" t="s">
        <v>299</v>
      </c>
      <c r="D180" s="1" t="s">
        <v>291</v>
      </c>
      <c r="E180">
        <v>210</v>
      </c>
      <c r="F180">
        <v>240</v>
      </c>
      <c r="G180">
        <v>260</v>
      </c>
      <c r="H180">
        <v>265</v>
      </c>
    </row>
    <row r="181" spans="1:8" x14ac:dyDescent="0.25">
      <c r="A181" s="10">
        <v>178</v>
      </c>
      <c r="B181" t="s">
        <v>295</v>
      </c>
      <c r="C181" s="2" t="s">
        <v>301</v>
      </c>
      <c r="D181" s="1" t="s">
        <v>291</v>
      </c>
      <c r="E181">
        <v>335</v>
      </c>
      <c r="F181">
        <v>380</v>
      </c>
      <c r="G181">
        <v>420</v>
      </c>
      <c r="H181">
        <v>435</v>
      </c>
    </row>
    <row r="183" spans="1:8" x14ac:dyDescent="0.25">
      <c r="A183" s="10">
        <v>179</v>
      </c>
      <c r="B183" t="s">
        <v>4360</v>
      </c>
      <c r="C183" s="2" t="s">
        <v>75</v>
      </c>
      <c r="D183" s="1" t="s">
        <v>86</v>
      </c>
      <c r="E183">
        <v>248</v>
      </c>
      <c r="F183">
        <f>SUM(G183-50)</f>
        <v>230</v>
      </c>
      <c r="G183">
        <v>280</v>
      </c>
      <c r="H183">
        <v>355</v>
      </c>
    </row>
    <row r="184" spans="1:8" x14ac:dyDescent="0.25">
      <c r="A184" s="10">
        <v>180</v>
      </c>
      <c r="B184" t="s">
        <v>74</v>
      </c>
      <c r="C184" s="2" t="s">
        <v>76</v>
      </c>
      <c r="D184" s="1" t="s">
        <v>86</v>
      </c>
      <c r="E184">
        <v>483</v>
      </c>
      <c r="F184">
        <f>SUM(G184-50)</f>
        <v>500</v>
      </c>
      <c r="G184">
        <v>550</v>
      </c>
      <c r="H184">
        <v>690</v>
      </c>
    </row>
    <row r="185" spans="1:8" x14ac:dyDescent="0.25">
      <c r="A185" s="10">
        <v>181</v>
      </c>
      <c r="B185" t="s">
        <v>74</v>
      </c>
      <c r="C185" s="2" t="s">
        <v>77</v>
      </c>
      <c r="D185" s="1" t="s">
        <v>86</v>
      </c>
      <c r="E185">
        <v>693</v>
      </c>
      <c r="F185">
        <f t="shared" ref="F185:F189" si="2">SUM(G185-50)</f>
        <v>750</v>
      </c>
      <c r="G185">
        <v>800</v>
      </c>
      <c r="H185">
        <v>990</v>
      </c>
    </row>
    <row r="186" spans="1:8" x14ac:dyDescent="0.25">
      <c r="A186" s="10">
        <v>182</v>
      </c>
      <c r="B186" t="s">
        <v>74</v>
      </c>
      <c r="C186" s="2" t="s">
        <v>78</v>
      </c>
      <c r="D186" s="1" t="s">
        <v>86</v>
      </c>
      <c r="E186">
        <v>865</v>
      </c>
      <c r="F186">
        <f t="shared" si="2"/>
        <v>930</v>
      </c>
      <c r="G186">
        <v>980</v>
      </c>
      <c r="H186">
        <v>1235</v>
      </c>
    </row>
    <row r="187" spans="1:8" x14ac:dyDescent="0.25">
      <c r="A187" s="10">
        <v>183</v>
      </c>
      <c r="B187" t="s">
        <v>74</v>
      </c>
      <c r="C187" s="2" t="s">
        <v>79</v>
      </c>
      <c r="D187" s="1" t="s">
        <v>86</v>
      </c>
      <c r="E187">
        <v>1060</v>
      </c>
      <c r="F187">
        <f t="shared" si="2"/>
        <v>1250</v>
      </c>
      <c r="G187">
        <v>1300</v>
      </c>
      <c r="H187">
        <v>1515</v>
      </c>
    </row>
    <row r="188" spans="1:8" x14ac:dyDescent="0.25">
      <c r="A188" s="10">
        <v>184</v>
      </c>
      <c r="B188" t="s">
        <v>74</v>
      </c>
      <c r="C188" s="2" t="s">
        <v>80</v>
      </c>
      <c r="D188" s="1" t="s">
        <v>86</v>
      </c>
      <c r="E188">
        <v>1225</v>
      </c>
      <c r="F188">
        <f t="shared" si="2"/>
        <v>1450</v>
      </c>
      <c r="G188">
        <v>1500</v>
      </c>
      <c r="H188">
        <v>1750</v>
      </c>
    </row>
    <row r="189" spans="1:8" x14ac:dyDescent="0.25">
      <c r="A189" s="10">
        <v>185</v>
      </c>
      <c r="B189" t="s">
        <v>74</v>
      </c>
      <c r="C189" s="2" t="s">
        <v>81</v>
      </c>
      <c r="D189" s="1" t="s">
        <v>86</v>
      </c>
      <c r="E189">
        <v>413</v>
      </c>
      <c r="F189">
        <f t="shared" si="2"/>
        <v>480</v>
      </c>
      <c r="G189">
        <v>530</v>
      </c>
      <c r="H189">
        <v>590</v>
      </c>
    </row>
    <row r="190" spans="1:8" x14ac:dyDescent="0.25">
      <c r="A190" s="10">
        <v>186</v>
      </c>
      <c r="B190" t="s">
        <v>74</v>
      </c>
      <c r="C190" s="2" t="s">
        <v>82</v>
      </c>
      <c r="D190" s="1" t="s">
        <v>86</v>
      </c>
      <c r="E190">
        <v>773</v>
      </c>
      <c r="F190">
        <f>SUM(G190-50)</f>
        <v>850</v>
      </c>
      <c r="G190">
        <v>900</v>
      </c>
      <c r="H190">
        <v>1105</v>
      </c>
    </row>
    <row r="191" spans="1:8" x14ac:dyDescent="0.25">
      <c r="A191" s="10">
        <v>187</v>
      </c>
      <c r="B191" t="s">
        <v>74</v>
      </c>
      <c r="C191" s="2" t="s">
        <v>83</v>
      </c>
      <c r="D191" s="1" t="s">
        <v>86</v>
      </c>
      <c r="E191">
        <v>1165</v>
      </c>
      <c r="F191">
        <f t="shared" ref="F191:F237" si="3">SUM(G191-50)</f>
        <v>1350</v>
      </c>
      <c r="G191">
        <v>1400</v>
      </c>
      <c r="H191">
        <v>1665</v>
      </c>
    </row>
    <row r="192" spans="1:8" x14ac:dyDescent="0.25">
      <c r="A192" s="10">
        <v>188</v>
      </c>
      <c r="B192" t="s">
        <v>74</v>
      </c>
      <c r="C192" s="2" t="s">
        <v>84</v>
      </c>
      <c r="D192" s="1" t="s">
        <v>86</v>
      </c>
      <c r="E192">
        <v>1526</v>
      </c>
      <c r="F192">
        <f t="shared" si="3"/>
        <v>1700</v>
      </c>
      <c r="G192">
        <v>1750</v>
      </c>
      <c r="H192">
        <v>2180</v>
      </c>
    </row>
    <row r="193" spans="1:8" x14ac:dyDescent="0.25">
      <c r="A193" s="10">
        <v>189</v>
      </c>
      <c r="B193" t="s">
        <v>74</v>
      </c>
      <c r="C193" s="2" t="s">
        <v>85</v>
      </c>
      <c r="D193" s="1" t="s">
        <v>86</v>
      </c>
      <c r="E193">
        <v>1757</v>
      </c>
      <c r="F193">
        <f t="shared" si="3"/>
        <v>1900</v>
      </c>
      <c r="G193">
        <v>1950</v>
      </c>
      <c r="H193">
        <v>2510</v>
      </c>
    </row>
    <row r="194" spans="1:8" x14ac:dyDescent="0.25">
      <c r="A194" s="10">
        <v>190</v>
      </c>
      <c r="B194" t="s">
        <v>87</v>
      </c>
      <c r="C194" s="2" t="s">
        <v>88</v>
      </c>
      <c r="D194" s="1" t="s">
        <v>86</v>
      </c>
      <c r="E194">
        <v>1113</v>
      </c>
      <c r="F194">
        <f t="shared" si="3"/>
        <v>1300</v>
      </c>
      <c r="G194">
        <v>1350</v>
      </c>
      <c r="H194">
        <v>1590</v>
      </c>
    </row>
    <row r="195" spans="1:8" x14ac:dyDescent="0.25">
      <c r="A195" s="10">
        <v>191</v>
      </c>
      <c r="B195" t="s">
        <v>74</v>
      </c>
      <c r="C195" s="2" t="s">
        <v>155</v>
      </c>
      <c r="D195" s="1" t="s">
        <v>86</v>
      </c>
      <c r="E195">
        <v>955</v>
      </c>
      <c r="F195">
        <f t="shared" si="3"/>
        <v>1050</v>
      </c>
      <c r="G195">
        <v>1100</v>
      </c>
      <c r="H195">
        <v>1365</v>
      </c>
    </row>
    <row r="196" spans="1:8" x14ac:dyDescent="0.25">
      <c r="A196" s="10">
        <v>192</v>
      </c>
      <c r="B196" t="s">
        <v>74</v>
      </c>
      <c r="C196" s="2" t="s">
        <v>89</v>
      </c>
      <c r="D196" s="1" t="s">
        <v>86</v>
      </c>
      <c r="E196">
        <v>554</v>
      </c>
      <c r="F196">
        <f t="shared" si="3"/>
        <v>550</v>
      </c>
      <c r="G196">
        <v>600</v>
      </c>
      <c r="H196">
        <v>930</v>
      </c>
    </row>
    <row r="197" spans="1:8" x14ac:dyDescent="0.25">
      <c r="A197" s="10">
        <v>193</v>
      </c>
      <c r="B197" t="s">
        <v>74</v>
      </c>
      <c r="C197" s="2" t="s">
        <v>114</v>
      </c>
      <c r="D197" s="1" t="s">
        <v>86</v>
      </c>
      <c r="E197">
        <v>850</v>
      </c>
      <c r="F197">
        <f t="shared" si="3"/>
        <v>1050</v>
      </c>
      <c r="G197">
        <v>1100</v>
      </c>
      <c r="H197">
        <v>1215</v>
      </c>
    </row>
    <row r="198" spans="1:8" x14ac:dyDescent="0.25">
      <c r="A198" s="10">
        <v>194</v>
      </c>
      <c r="B198" t="s">
        <v>157</v>
      </c>
      <c r="C198" s="2" t="s">
        <v>115</v>
      </c>
      <c r="D198" s="1" t="s">
        <v>86</v>
      </c>
      <c r="E198">
        <v>1473</v>
      </c>
      <c r="F198">
        <f t="shared" si="3"/>
        <v>1700</v>
      </c>
      <c r="G198">
        <v>1750</v>
      </c>
      <c r="H198">
        <v>2105</v>
      </c>
    </row>
    <row r="199" spans="1:8" x14ac:dyDescent="0.25">
      <c r="A199" s="10">
        <v>195</v>
      </c>
      <c r="B199" t="s">
        <v>157</v>
      </c>
      <c r="C199" s="2" t="s">
        <v>156</v>
      </c>
      <c r="D199" s="1" t="s">
        <v>86</v>
      </c>
      <c r="E199">
        <v>1711</v>
      </c>
      <c r="F199">
        <f t="shared" si="3"/>
        <v>2050</v>
      </c>
      <c r="G199">
        <v>2100</v>
      </c>
      <c r="H199">
        <v>2445</v>
      </c>
    </row>
    <row r="200" spans="1:8" x14ac:dyDescent="0.25">
      <c r="A200" s="10">
        <v>196</v>
      </c>
      <c r="B200" t="s">
        <v>157</v>
      </c>
      <c r="C200" s="2" t="s">
        <v>116</v>
      </c>
      <c r="D200" s="1" t="s">
        <v>86</v>
      </c>
      <c r="E200">
        <v>1487</v>
      </c>
      <c r="F200">
        <f t="shared" si="3"/>
        <v>1780</v>
      </c>
      <c r="G200">
        <v>1830</v>
      </c>
      <c r="H200">
        <v>2125</v>
      </c>
    </row>
    <row r="201" spans="1:8" x14ac:dyDescent="0.25">
      <c r="A201" s="10">
        <v>197</v>
      </c>
      <c r="B201" t="s">
        <v>74</v>
      </c>
      <c r="C201" s="2" t="s">
        <v>91</v>
      </c>
      <c r="D201" s="1" t="s">
        <v>86</v>
      </c>
      <c r="E201">
        <v>1638</v>
      </c>
      <c r="F201">
        <f t="shared" si="3"/>
        <v>1900</v>
      </c>
      <c r="G201">
        <v>1950</v>
      </c>
      <c r="H201">
        <v>2340</v>
      </c>
    </row>
    <row r="202" spans="1:8" x14ac:dyDescent="0.25">
      <c r="A202" s="10">
        <v>198</v>
      </c>
      <c r="B202" t="s">
        <v>74</v>
      </c>
      <c r="C202" s="2" t="s">
        <v>90</v>
      </c>
      <c r="D202" s="1" t="s">
        <v>86</v>
      </c>
      <c r="E202">
        <v>616</v>
      </c>
      <c r="F202">
        <f t="shared" si="3"/>
        <v>700</v>
      </c>
      <c r="G202">
        <v>750</v>
      </c>
      <c r="H202">
        <v>880</v>
      </c>
    </row>
    <row r="203" spans="1:8" x14ac:dyDescent="0.25">
      <c r="A203" s="10">
        <v>199</v>
      </c>
      <c r="B203" t="s">
        <v>74</v>
      </c>
      <c r="C203" s="2" t="s">
        <v>117</v>
      </c>
      <c r="D203" s="1" t="s">
        <v>86</v>
      </c>
      <c r="E203">
        <v>691</v>
      </c>
      <c r="F203">
        <f t="shared" si="3"/>
        <v>750</v>
      </c>
      <c r="G203">
        <v>800</v>
      </c>
      <c r="H203">
        <v>1070</v>
      </c>
    </row>
    <row r="204" spans="1:8" x14ac:dyDescent="0.25">
      <c r="A204" s="10">
        <v>200</v>
      </c>
      <c r="B204" t="s">
        <v>74</v>
      </c>
      <c r="C204" s="2" t="s">
        <v>118</v>
      </c>
      <c r="D204" s="1" t="s">
        <v>86</v>
      </c>
      <c r="E204">
        <v>691</v>
      </c>
      <c r="F204">
        <f t="shared" si="3"/>
        <v>750</v>
      </c>
      <c r="G204">
        <v>800</v>
      </c>
      <c r="H204">
        <v>1070</v>
      </c>
    </row>
    <row r="205" spans="1:8" x14ac:dyDescent="0.25">
      <c r="A205" s="10">
        <v>201</v>
      </c>
      <c r="B205" t="s">
        <v>74</v>
      </c>
      <c r="C205" s="2" t="s">
        <v>119</v>
      </c>
      <c r="D205" s="1" t="s">
        <v>86</v>
      </c>
      <c r="E205">
        <v>691</v>
      </c>
      <c r="F205">
        <f t="shared" si="3"/>
        <v>750</v>
      </c>
      <c r="G205">
        <v>800</v>
      </c>
      <c r="H205">
        <v>1070</v>
      </c>
    </row>
    <row r="206" spans="1:8" x14ac:dyDescent="0.25">
      <c r="A206" s="10">
        <v>202</v>
      </c>
      <c r="B206" t="s">
        <v>74</v>
      </c>
      <c r="C206" s="2" t="s">
        <v>120</v>
      </c>
      <c r="D206" s="1" t="s">
        <v>86</v>
      </c>
      <c r="E206">
        <v>691</v>
      </c>
      <c r="F206">
        <f t="shared" si="3"/>
        <v>750</v>
      </c>
      <c r="G206">
        <v>800</v>
      </c>
      <c r="H206">
        <v>1070</v>
      </c>
    </row>
    <row r="207" spans="1:8" x14ac:dyDescent="0.25">
      <c r="A207" s="10">
        <v>203</v>
      </c>
      <c r="B207" t="s">
        <v>4360</v>
      </c>
      <c r="C207" s="2" t="s">
        <v>121</v>
      </c>
      <c r="D207" s="1" t="s">
        <v>86</v>
      </c>
      <c r="E207">
        <v>1983</v>
      </c>
      <c r="F207">
        <f t="shared" si="3"/>
        <v>2350</v>
      </c>
      <c r="G207">
        <v>2400</v>
      </c>
      <c r="H207">
        <v>3070</v>
      </c>
    </row>
    <row r="208" spans="1:8" x14ac:dyDescent="0.25">
      <c r="A208" s="10">
        <v>204</v>
      </c>
      <c r="B208" t="s">
        <v>123</v>
      </c>
      <c r="C208" s="2" t="s">
        <v>122</v>
      </c>
      <c r="D208" s="1" t="s">
        <v>86</v>
      </c>
      <c r="E208">
        <v>5214</v>
      </c>
      <c r="F208">
        <f t="shared" si="3"/>
        <v>5450</v>
      </c>
      <c r="G208">
        <v>5500</v>
      </c>
      <c r="H208">
        <v>8070</v>
      </c>
    </row>
    <row r="209" spans="1:8" x14ac:dyDescent="0.25">
      <c r="A209" s="10">
        <v>205</v>
      </c>
      <c r="B209" t="s">
        <v>123</v>
      </c>
      <c r="C209" s="2" t="s">
        <v>132</v>
      </c>
      <c r="D209" s="1" t="s">
        <v>86</v>
      </c>
    </row>
    <row r="210" spans="1:8" x14ac:dyDescent="0.25">
      <c r="A210" s="10">
        <v>206</v>
      </c>
      <c r="B210" t="s">
        <v>123</v>
      </c>
      <c r="C210" s="2" t="s">
        <v>133</v>
      </c>
      <c r="D210" s="1" t="s">
        <v>86</v>
      </c>
    </row>
    <row r="211" spans="1:8" x14ac:dyDescent="0.25">
      <c r="A211" s="10">
        <v>207</v>
      </c>
      <c r="B211" t="s">
        <v>123</v>
      </c>
      <c r="C211" s="2" t="s">
        <v>134</v>
      </c>
      <c r="D211" s="1" t="s">
        <v>86</v>
      </c>
    </row>
    <row r="212" spans="1:8" x14ac:dyDescent="0.25">
      <c r="A212" s="10">
        <v>208</v>
      </c>
      <c r="B212" t="s">
        <v>74</v>
      </c>
      <c r="C212" s="2" t="s">
        <v>124</v>
      </c>
      <c r="D212" s="1" t="s">
        <v>86</v>
      </c>
      <c r="E212">
        <v>539</v>
      </c>
      <c r="F212">
        <f t="shared" si="3"/>
        <v>600</v>
      </c>
      <c r="G212">
        <v>650</v>
      </c>
      <c r="H212">
        <v>770</v>
      </c>
    </row>
    <row r="213" spans="1:8" x14ac:dyDescent="0.25">
      <c r="A213" s="10">
        <v>209</v>
      </c>
      <c r="B213" t="s">
        <v>74</v>
      </c>
      <c r="C213" s="2" t="s">
        <v>125</v>
      </c>
      <c r="D213" s="1" t="s">
        <v>86</v>
      </c>
      <c r="E213">
        <v>539</v>
      </c>
      <c r="F213">
        <f t="shared" si="3"/>
        <v>600</v>
      </c>
      <c r="G213">
        <v>650</v>
      </c>
      <c r="H213">
        <v>770</v>
      </c>
    </row>
    <row r="214" spans="1:8" x14ac:dyDescent="0.25">
      <c r="A214" s="10">
        <v>210</v>
      </c>
      <c r="B214" t="s">
        <v>74</v>
      </c>
      <c r="C214" s="2" t="s">
        <v>126</v>
      </c>
      <c r="D214" s="1" t="s">
        <v>86</v>
      </c>
      <c r="E214">
        <v>539</v>
      </c>
      <c r="F214">
        <f t="shared" si="3"/>
        <v>600</v>
      </c>
      <c r="G214">
        <v>650</v>
      </c>
      <c r="H214">
        <v>770</v>
      </c>
    </row>
    <row r="215" spans="1:8" x14ac:dyDescent="0.25">
      <c r="A215" s="10">
        <v>211</v>
      </c>
      <c r="B215" t="s">
        <v>74</v>
      </c>
      <c r="C215" s="2" t="s">
        <v>127</v>
      </c>
      <c r="D215" s="1" t="s">
        <v>86</v>
      </c>
      <c r="E215">
        <v>539</v>
      </c>
      <c r="F215">
        <f t="shared" si="3"/>
        <v>600</v>
      </c>
      <c r="G215">
        <v>650</v>
      </c>
      <c r="H215">
        <v>770</v>
      </c>
    </row>
    <row r="216" spans="1:8" x14ac:dyDescent="0.25">
      <c r="A216" s="10">
        <v>212</v>
      </c>
      <c r="B216" t="s">
        <v>74</v>
      </c>
      <c r="C216" s="2" t="s">
        <v>128</v>
      </c>
      <c r="D216" s="1" t="s">
        <v>86</v>
      </c>
      <c r="E216">
        <v>1208</v>
      </c>
      <c r="F216">
        <f t="shared" si="3"/>
        <v>1440</v>
      </c>
      <c r="G216">
        <v>1490</v>
      </c>
      <c r="H216">
        <v>1870</v>
      </c>
    </row>
    <row r="217" spans="1:8" x14ac:dyDescent="0.25">
      <c r="A217" s="10">
        <v>213</v>
      </c>
      <c r="B217" t="s">
        <v>74</v>
      </c>
      <c r="C217" s="2" t="s">
        <v>129</v>
      </c>
      <c r="D217" s="1" t="s">
        <v>86</v>
      </c>
      <c r="E217">
        <v>4200</v>
      </c>
      <c r="F217">
        <v>5400</v>
      </c>
      <c r="G217">
        <v>5500</v>
      </c>
      <c r="H217">
        <v>6500</v>
      </c>
    </row>
    <row r="218" spans="1:8" x14ac:dyDescent="0.25">
      <c r="A218" s="10">
        <v>214</v>
      </c>
      <c r="B218" t="s">
        <v>131</v>
      </c>
      <c r="C218" s="2" t="s">
        <v>130</v>
      </c>
      <c r="D218" s="1" t="s">
        <v>86</v>
      </c>
      <c r="E218">
        <v>3473</v>
      </c>
      <c r="F218">
        <f t="shared" si="3"/>
        <v>4450</v>
      </c>
      <c r="G218">
        <v>4500</v>
      </c>
      <c r="H218">
        <v>4630</v>
      </c>
    </row>
    <row r="219" spans="1:8" x14ac:dyDescent="0.25">
      <c r="A219" s="10">
        <v>215</v>
      </c>
      <c r="B219" t="s">
        <v>146</v>
      </c>
      <c r="C219" s="2" t="s">
        <v>135</v>
      </c>
      <c r="D219" s="1" t="s">
        <v>86</v>
      </c>
      <c r="E219">
        <v>535</v>
      </c>
      <c r="F219">
        <f t="shared" si="3"/>
        <v>600</v>
      </c>
      <c r="G219">
        <v>650</v>
      </c>
      <c r="H219">
        <v>765</v>
      </c>
    </row>
    <row r="220" spans="1:8" x14ac:dyDescent="0.25">
      <c r="A220" s="10">
        <v>216</v>
      </c>
      <c r="B220" t="s">
        <v>146</v>
      </c>
      <c r="C220" s="2" t="s">
        <v>136</v>
      </c>
      <c r="D220" s="1" t="s">
        <v>86</v>
      </c>
      <c r="E220">
        <v>686</v>
      </c>
      <c r="F220">
        <f t="shared" si="3"/>
        <v>785</v>
      </c>
      <c r="G220">
        <v>835</v>
      </c>
      <c r="H220">
        <v>980</v>
      </c>
    </row>
    <row r="221" spans="1:8" x14ac:dyDescent="0.25">
      <c r="A221" s="10">
        <v>217</v>
      </c>
      <c r="B221" t="s">
        <v>146</v>
      </c>
      <c r="C221" s="2" t="s">
        <v>137</v>
      </c>
      <c r="D221" s="1" t="s">
        <v>86</v>
      </c>
      <c r="E221">
        <v>885</v>
      </c>
      <c r="F221">
        <f t="shared" si="3"/>
        <v>1025</v>
      </c>
      <c r="G221">
        <v>1075</v>
      </c>
      <c r="H221">
        <v>1265</v>
      </c>
    </row>
    <row r="222" spans="1:8" x14ac:dyDescent="0.25">
      <c r="A222" s="10">
        <v>218</v>
      </c>
      <c r="B222" t="s">
        <v>146</v>
      </c>
      <c r="C222" s="2" t="s">
        <v>138</v>
      </c>
      <c r="D222" s="1" t="s">
        <v>86</v>
      </c>
      <c r="E222">
        <v>1134</v>
      </c>
      <c r="F222">
        <f t="shared" si="3"/>
        <v>1330</v>
      </c>
      <c r="G222">
        <v>1380</v>
      </c>
      <c r="H222">
        <v>1620</v>
      </c>
    </row>
    <row r="223" spans="1:8" x14ac:dyDescent="0.25">
      <c r="A223" s="10">
        <v>219</v>
      </c>
      <c r="B223" t="s">
        <v>146</v>
      </c>
      <c r="C223" s="2" t="s">
        <v>139</v>
      </c>
      <c r="D223" s="1" t="s">
        <v>86</v>
      </c>
      <c r="E223">
        <v>1375</v>
      </c>
      <c r="F223">
        <f t="shared" si="3"/>
        <v>1620</v>
      </c>
      <c r="G223">
        <v>1670</v>
      </c>
      <c r="H223">
        <v>1965</v>
      </c>
    </row>
    <row r="224" spans="1:8" x14ac:dyDescent="0.25">
      <c r="A224" s="10">
        <v>220</v>
      </c>
      <c r="B224" t="s">
        <v>146</v>
      </c>
      <c r="C224" s="2" t="s">
        <v>140</v>
      </c>
      <c r="D224" s="1" t="s">
        <v>86</v>
      </c>
      <c r="E224">
        <v>1620</v>
      </c>
      <c r="F224">
        <f t="shared" si="3"/>
        <v>1920</v>
      </c>
      <c r="G224">
        <v>1970</v>
      </c>
      <c r="H224">
        <v>2315</v>
      </c>
    </row>
    <row r="225" spans="1:8" x14ac:dyDescent="0.25">
      <c r="A225" s="10">
        <v>221</v>
      </c>
      <c r="B225" t="s">
        <v>146</v>
      </c>
      <c r="C225" s="2" t="s">
        <v>141</v>
      </c>
      <c r="D225" s="1" t="s">
        <v>86</v>
      </c>
      <c r="E225">
        <v>753</v>
      </c>
      <c r="F225">
        <f t="shared" si="3"/>
        <v>850</v>
      </c>
      <c r="G225">
        <v>900</v>
      </c>
      <c r="H225">
        <v>1075</v>
      </c>
    </row>
    <row r="226" spans="1:8" x14ac:dyDescent="0.25">
      <c r="A226" s="10">
        <v>222</v>
      </c>
      <c r="B226" t="s">
        <v>146</v>
      </c>
      <c r="C226" s="2" t="s">
        <v>142</v>
      </c>
      <c r="D226" s="1" t="s">
        <v>86</v>
      </c>
      <c r="E226">
        <v>1008</v>
      </c>
      <c r="F226">
        <f t="shared" si="3"/>
        <v>1170</v>
      </c>
      <c r="G226">
        <v>1220</v>
      </c>
      <c r="H226">
        <v>1440</v>
      </c>
    </row>
    <row r="227" spans="1:8" x14ac:dyDescent="0.25">
      <c r="A227" s="10">
        <v>223</v>
      </c>
      <c r="B227" t="s">
        <v>146</v>
      </c>
      <c r="C227" s="2" t="s">
        <v>143</v>
      </c>
      <c r="D227" s="1" t="s">
        <v>86</v>
      </c>
      <c r="E227">
        <v>1285</v>
      </c>
      <c r="F227">
        <f t="shared" si="3"/>
        <v>1510</v>
      </c>
      <c r="G227">
        <v>1560</v>
      </c>
      <c r="H227">
        <v>1835</v>
      </c>
    </row>
    <row r="228" spans="1:8" x14ac:dyDescent="0.25">
      <c r="A228" s="10">
        <v>224</v>
      </c>
      <c r="B228" t="s">
        <v>146</v>
      </c>
      <c r="C228" s="2" t="s">
        <v>144</v>
      </c>
      <c r="D228" s="1" t="s">
        <v>86</v>
      </c>
      <c r="E228">
        <v>1561</v>
      </c>
      <c r="F228">
        <f t="shared" si="3"/>
        <v>1840</v>
      </c>
      <c r="G228">
        <v>1890</v>
      </c>
      <c r="H228">
        <v>2230</v>
      </c>
    </row>
    <row r="229" spans="1:8" x14ac:dyDescent="0.25">
      <c r="A229" s="10">
        <v>225</v>
      </c>
      <c r="B229" t="s">
        <v>146</v>
      </c>
      <c r="C229" s="2" t="s">
        <v>145</v>
      </c>
      <c r="D229" s="1" t="s">
        <v>86</v>
      </c>
      <c r="E229">
        <v>2139</v>
      </c>
      <c r="F229">
        <f t="shared" si="3"/>
        <v>2550</v>
      </c>
      <c r="G229">
        <v>2600</v>
      </c>
      <c r="H229">
        <v>3055</v>
      </c>
    </row>
    <row r="230" spans="1:8" x14ac:dyDescent="0.25">
      <c r="A230" s="10">
        <v>226</v>
      </c>
      <c r="B230" t="s">
        <v>146</v>
      </c>
      <c r="C230" s="2" t="s">
        <v>147</v>
      </c>
      <c r="D230" s="1" t="s">
        <v>86</v>
      </c>
      <c r="E230">
        <v>1600</v>
      </c>
      <c r="F230">
        <f t="shared" si="3"/>
        <v>1900</v>
      </c>
      <c r="G230">
        <v>1950</v>
      </c>
      <c r="H230">
        <v>2285</v>
      </c>
    </row>
    <row r="231" spans="1:8" x14ac:dyDescent="0.25">
      <c r="A231" s="10">
        <v>227</v>
      </c>
      <c r="B231" t="s">
        <v>146</v>
      </c>
      <c r="C231" s="2" t="s">
        <v>148</v>
      </c>
      <c r="D231" s="1" t="s">
        <v>86</v>
      </c>
    </row>
    <row r="232" spans="1:8" x14ac:dyDescent="0.25">
      <c r="A232" s="10">
        <v>228</v>
      </c>
      <c r="B232" t="s">
        <v>146</v>
      </c>
      <c r="C232" s="2" t="s">
        <v>149</v>
      </c>
      <c r="D232" s="1" t="s">
        <v>86</v>
      </c>
      <c r="E232">
        <v>1176</v>
      </c>
      <c r="F232">
        <f t="shared" si="3"/>
        <v>1380</v>
      </c>
      <c r="G232">
        <v>1430</v>
      </c>
      <c r="H232">
        <v>1680</v>
      </c>
    </row>
    <row r="233" spans="1:8" x14ac:dyDescent="0.25">
      <c r="A233" s="10">
        <v>229</v>
      </c>
      <c r="B233" t="s">
        <v>146</v>
      </c>
      <c r="C233" s="2" t="s">
        <v>150</v>
      </c>
      <c r="D233" s="1" t="s">
        <v>86</v>
      </c>
    </row>
    <row r="234" spans="1:8" x14ac:dyDescent="0.25">
      <c r="A234" s="10">
        <v>230</v>
      </c>
      <c r="B234" t="s">
        <v>146</v>
      </c>
      <c r="C234" s="2" t="s">
        <v>151</v>
      </c>
      <c r="D234" s="1" t="s">
        <v>86</v>
      </c>
      <c r="E234">
        <v>2026</v>
      </c>
      <c r="F234">
        <f t="shared" si="3"/>
        <v>2410</v>
      </c>
      <c r="G234">
        <v>2460</v>
      </c>
      <c r="H234">
        <v>2895</v>
      </c>
    </row>
    <row r="235" spans="1:8" x14ac:dyDescent="0.25">
      <c r="A235" s="10">
        <v>231</v>
      </c>
      <c r="B235" t="s">
        <v>146</v>
      </c>
      <c r="C235" s="2" t="s">
        <v>152</v>
      </c>
      <c r="D235" s="1" t="s">
        <v>86</v>
      </c>
      <c r="E235">
        <v>2177</v>
      </c>
      <c r="F235">
        <f t="shared" si="3"/>
        <v>2590</v>
      </c>
      <c r="G235">
        <v>2640</v>
      </c>
      <c r="H235">
        <v>3110</v>
      </c>
    </row>
    <row r="236" spans="1:8" x14ac:dyDescent="0.25">
      <c r="A236" s="10">
        <v>232</v>
      </c>
      <c r="B236" t="s">
        <v>146</v>
      </c>
      <c r="C236" s="2" t="s">
        <v>153</v>
      </c>
      <c r="D236" s="1" t="s">
        <v>86</v>
      </c>
      <c r="E236">
        <v>2184</v>
      </c>
      <c r="F236">
        <v>2500</v>
      </c>
      <c r="G236">
        <v>2650</v>
      </c>
      <c r="H236">
        <v>3120</v>
      </c>
    </row>
    <row r="237" spans="1:8" x14ac:dyDescent="0.25">
      <c r="A237" s="10">
        <v>233</v>
      </c>
      <c r="B237" t="s">
        <v>146</v>
      </c>
      <c r="C237" s="2" t="s">
        <v>154</v>
      </c>
      <c r="D237" s="1" t="s">
        <v>86</v>
      </c>
      <c r="E237">
        <v>885</v>
      </c>
      <c r="F237">
        <f t="shared" si="3"/>
        <v>1030</v>
      </c>
      <c r="G237">
        <v>1080</v>
      </c>
      <c r="H237">
        <v>1265</v>
      </c>
    </row>
    <row r="238" spans="1:8" x14ac:dyDescent="0.25">
      <c r="C238" s="2"/>
    </row>
    <row r="239" spans="1:8" x14ac:dyDescent="0.25">
      <c r="A239" s="10">
        <v>234</v>
      </c>
      <c r="B239" t="s">
        <v>318</v>
      </c>
      <c r="C239" s="2" t="s">
        <v>310</v>
      </c>
      <c r="D239" s="1" t="s">
        <v>319</v>
      </c>
      <c r="E239">
        <v>815</v>
      </c>
      <c r="F239">
        <f>SUM(G239-100)</f>
        <v>1000</v>
      </c>
      <c r="G239">
        <v>1100</v>
      </c>
      <c r="H239">
        <v>1630</v>
      </c>
    </row>
    <row r="240" spans="1:8" x14ac:dyDescent="0.25">
      <c r="A240" s="10">
        <v>235</v>
      </c>
      <c r="B240" t="s">
        <v>318</v>
      </c>
      <c r="C240" s="2" t="s">
        <v>311</v>
      </c>
      <c r="D240" s="1" t="s">
        <v>319</v>
      </c>
      <c r="E240">
        <v>1240</v>
      </c>
      <c r="F240">
        <f t="shared" ref="F240:F270" si="4">SUM(G240-100)</f>
        <v>1500</v>
      </c>
      <c r="G240">
        <v>1600</v>
      </c>
      <c r="H240">
        <v>2480</v>
      </c>
    </row>
    <row r="241" spans="1:8" x14ac:dyDescent="0.25">
      <c r="A241" s="10">
        <v>236</v>
      </c>
      <c r="B241" t="s">
        <v>318</v>
      </c>
      <c r="C241" s="2" t="s">
        <v>312</v>
      </c>
      <c r="D241" s="1" t="s">
        <v>319</v>
      </c>
      <c r="E241">
        <v>1595</v>
      </c>
      <c r="F241">
        <f t="shared" si="4"/>
        <v>1880</v>
      </c>
      <c r="G241">
        <v>1980</v>
      </c>
      <c r="H241">
        <v>3190</v>
      </c>
    </row>
    <row r="242" spans="1:8" x14ac:dyDescent="0.25">
      <c r="A242" s="10">
        <v>237</v>
      </c>
      <c r="B242" t="s">
        <v>318</v>
      </c>
      <c r="C242" s="2" t="s">
        <v>313</v>
      </c>
      <c r="D242" s="1" t="s">
        <v>319</v>
      </c>
    </row>
    <row r="243" spans="1:8" x14ac:dyDescent="0.25">
      <c r="A243" s="10">
        <v>238</v>
      </c>
      <c r="B243" t="s">
        <v>318</v>
      </c>
      <c r="C243" s="2" t="s">
        <v>314</v>
      </c>
      <c r="D243" s="1" t="s">
        <v>319</v>
      </c>
      <c r="E243">
        <v>902.5</v>
      </c>
      <c r="F243">
        <f t="shared" si="4"/>
        <v>1150</v>
      </c>
      <c r="G243">
        <v>1250</v>
      </c>
      <c r="H243">
        <v>1805</v>
      </c>
    </row>
    <row r="244" spans="1:8" x14ac:dyDescent="0.25">
      <c r="A244" s="10">
        <v>239</v>
      </c>
      <c r="B244" t="s">
        <v>318</v>
      </c>
      <c r="C244" s="2" t="s">
        <v>315</v>
      </c>
      <c r="D244" s="1" t="s">
        <v>319</v>
      </c>
      <c r="E244">
        <v>1370</v>
      </c>
      <c r="F244">
        <f t="shared" si="4"/>
        <v>1700</v>
      </c>
      <c r="G244">
        <v>1800</v>
      </c>
      <c r="H244">
        <v>2740</v>
      </c>
    </row>
    <row r="245" spans="1:8" x14ac:dyDescent="0.25">
      <c r="A245" s="10">
        <v>240</v>
      </c>
      <c r="B245" t="s">
        <v>318</v>
      </c>
      <c r="C245" s="2" t="s">
        <v>316</v>
      </c>
      <c r="D245" s="1" t="s">
        <v>319</v>
      </c>
      <c r="E245">
        <v>1812.5</v>
      </c>
      <c r="F245">
        <f t="shared" si="4"/>
        <v>2150</v>
      </c>
      <c r="G245">
        <v>2250</v>
      </c>
      <c r="H245">
        <v>3625</v>
      </c>
    </row>
    <row r="246" spans="1:8" x14ac:dyDescent="0.25">
      <c r="A246" s="10">
        <v>241</v>
      </c>
      <c r="B246" t="s">
        <v>318</v>
      </c>
      <c r="C246" s="2" t="s">
        <v>317</v>
      </c>
      <c r="D246" s="1" t="s">
        <v>319</v>
      </c>
    </row>
    <row r="247" spans="1:8" x14ac:dyDescent="0.25">
      <c r="A247" s="10">
        <v>242</v>
      </c>
      <c r="B247" t="s">
        <v>318</v>
      </c>
      <c r="C247" s="2" t="s">
        <v>320</v>
      </c>
      <c r="D247" s="1" t="s">
        <v>319</v>
      </c>
      <c r="E247">
        <v>267.5</v>
      </c>
      <c r="F247">
        <f t="shared" si="4"/>
        <v>300</v>
      </c>
      <c r="G247">
        <v>400</v>
      </c>
      <c r="H247">
        <v>525</v>
      </c>
    </row>
    <row r="248" spans="1:8" x14ac:dyDescent="0.25">
      <c r="A248" s="10">
        <v>243</v>
      </c>
      <c r="B248" t="s">
        <v>318</v>
      </c>
      <c r="C248" s="2" t="s">
        <v>321</v>
      </c>
      <c r="D248" s="1" t="s">
        <v>319</v>
      </c>
      <c r="E248">
        <v>325</v>
      </c>
      <c r="F248">
        <f t="shared" si="4"/>
        <v>350</v>
      </c>
      <c r="G248">
        <v>450</v>
      </c>
      <c r="H248">
        <v>520</v>
      </c>
    </row>
    <row r="249" spans="1:8" x14ac:dyDescent="0.25">
      <c r="A249" s="10">
        <v>244</v>
      </c>
      <c r="B249" t="s">
        <v>318</v>
      </c>
      <c r="C249" s="2" t="s">
        <v>322</v>
      </c>
      <c r="D249" s="1" t="s">
        <v>319</v>
      </c>
      <c r="E249">
        <v>387.5</v>
      </c>
      <c r="F249">
        <f t="shared" si="4"/>
        <v>380</v>
      </c>
      <c r="G249">
        <v>480</v>
      </c>
      <c r="H249">
        <v>620</v>
      </c>
    </row>
    <row r="250" spans="1:8" x14ac:dyDescent="0.25">
      <c r="A250" s="10">
        <v>245</v>
      </c>
      <c r="B250" t="s">
        <v>318</v>
      </c>
      <c r="C250" s="2" t="s">
        <v>323</v>
      </c>
      <c r="D250" s="1" t="s">
        <v>319</v>
      </c>
      <c r="E250">
        <v>425</v>
      </c>
      <c r="F250">
        <f t="shared" si="4"/>
        <v>450</v>
      </c>
      <c r="G250">
        <v>550</v>
      </c>
      <c r="H250">
        <v>680</v>
      </c>
    </row>
    <row r="251" spans="1:8" x14ac:dyDescent="0.25">
      <c r="A251" s="10">
        <v>246</v>
      </c>
      <c r="B251" t="s">
        <v>318</v>
      </c>
      <c r="C251" s="2" t="s">
        <v>324</v>
      </c>
      <c r="D251" s="1" t="s">
        <v>319</v>
      </c>
      <c r="E251">
        <v>500</v>
      </c>
      <c r="F251">
        <f t="shared" si="4"/>
        <v>600</v>
      </c>
      <c r="G251">
        <v>700</v>
      </c>
      <c r="H251">
        <v>800</v>
      </c>
    </row>
    <row r="252" spans="1:8" x14ac:dyDescent="0.25">
      <c r="A252" s="10">
        <v>247</v>
      </c>
      <c r="B252" t="s">
        <v>318</v>
      </c>
      <c r="C252" s="2" t="s">
        <v>325</v>
      </c>
      <c r="D252" s="1" t="s">
        <v>319</v>
      </c>
      <c r="E252">
        <v>2025</v>
      </c>
      <c r="F252">
        <f t="shared" si="4"/>
        <v>2200</v>
      </c>
      <c r="G252">
        <v>2300</v>
      </c>
      <c r="H252">
        <v>2700</v>
      </c>
    </row>
    <row r="253" spans="1:8" x14ac:dyDescent="0.25">
      <c r="A253" s="10">
        <v>248</v>
      </c>
      <c r="B253" t="s">
        <v>318</v>
      </c>
      <c r="C253" s="2" t="s">
        <v>326</v>
      </c>
      <c r="D253" s="1" t="s">
        <v>319</v>
      </c>
      <c r="E253">
        <v>2475</v>
      </c>
      <c r="F253">
        <f t="shared" si="4"/>
        <v>2700</v>
      </c>
      <c r="G253">
        <v>2800</v>
      </c>
      <c r="H253">
        <v>3300</v>
      </c>
    </row>
    <row r="254" spans="1:8" x14ac:dyDescent="0.25">
      <c r="A254" s="10">
        <v>249</v>
      </c>
      <c r="B254" t="s">
        <v>318</v>
      </c>
      <c r="C254" s="2" t="s">
        <v>327</v>
      </c>
      <c r="D254" s="1" t="s">
        <v>319</v>
      </c>
      <c r="E254">
        <v>3230</v>
      </c>
      <c r="F254">
        <f t="shared" si="4"/>
        <v>3650</v>
      </c>
      <c r="G254">
        <v>3750</v>
      </c>
      <c r="H254">
        <v>4300</v>
      </c>
    </row>
    <row r="255" spans="1:8" x14ac:dyDescent="0.25">
      <c r="A255" s="10">
        <v>250</v>
      </c>
      <c r="B255" t="s">
        <v>318</v>
      </c>
      <c r="C255" s="2" t="s">
        <v>328</v>
      </c>
      <c r="D255" s="1" t="s">
        <v>319</v>
      </c>
      <c r="E255">
        <v>4350</v>
      </c>
      <c r="F255">
        <f t="shared" si="4"/>
        <v>4850</v>
      </c>
      <c r="G255">
        <v>4950</v>
      </c>
      <c r="H255">
        <v>5800</v>
      </c>
    </row>
    <row r="256" spans="1:8" x14ac:dyDescent="0.25">
      <c r="C256"/>
    </row>
    <row r="257" spans="1:8" x14ac:dyDescent="0.25">
      <c r="A257" s="10">
        <v>251</v>
      </c>
      <c r="B257" t="s">
        <v>318</v>
      </c>
      <c r="C257" s="2" t="s">
        <v>556</v>
      </c>
      <c r="D257" s="1" t="s">
        <v>342</v>
      </c>
      <c r="E257">
        <v>595</v>
      </c>
      <c r="F257">
        <f t="shared" si="4"/>
        <v>650</v>
      </c>
      <c r="G257">
        <v>750</v>
      </c>
      <c r="H257">
        <v>950</v>
      </c>
    </row>
    <row r="258" spans="1:8" x14ac:dyDescent="0.25">
      <c r="A258" s="10">
        <v>252</v>
      </c>
      <c r="B258" t="s">
        <v>318</v>
      </c>
      <c r="C258" s="2" t="s">
        <v>329</v>
      </c>
      <c r="D258" s="1" t="s">
        <v>342</v>
      </c>
      <c r="E258">
        <v>795</v>
      </c>
      <c r="F258">
        <f t="shared" si="4"/>
        <v>750</v>
      </c>
      <c r="G258">
        <v>850</v>
      </c>
      <c r="H258">
        <v>1150</v>
      </c>
    </row>
    <row r="259" spans="1:8" x14ac:dyDescent="0.25">
      <c r="A259" s="10">
        <v>253</v>
      </c>
      <c r="B259" t="s">
        <v>318</v>
      </c>
      <c r="C259" s="2" t="s">
        <v>330</v>
      </c>
      <c r="D259" s="1" t="s">
        <v>342</v>
      </c>
      <c r="E259">
        <v>675</v>
      </c>
      <c r="F259">
        <f t="shared" si="4"/>
        <v>895</v>
      </c>
      <c r="G259">
        <v>995</v>
      </c>
      <c r="H259">
        <v>1350</v>
      </c>
    </row>
    <row r="260" spans="1:8" x14ac:dyDescent="0.25">
      <c r="A260" s="10">
        <v>254</v>
      </c>
      <c r="B260" t="s">
        <v>318</v>
      </c>
      <c r="C260" s="2" t="s">
        <v>331</v>
      </c>
      <c r="D260" s="1" t="s">
        <v>342</v>
      </c>
      <c r="F260">
        <f t="shared" si="4"/>
        <v>1125</v>
      </c>
      <c r="G260">
        <v>1225</v>
      </c>
      <c r="H260">
        <v>1450</v>
      </c>
    </row>
    <row r="261" spans="1:8" x14ac:dyDescent="0.25">
      <c r="A261" s="10">
        <v>255</v>
      </c>
      <c r="B261" t="s">
        <v>318</v>
      </c>
      <c r="C261" s="2" t="s">
        <v>332</v>
      </c>
      <c r="D261" s="1" t="s">
        <v>342</v>
      </c>
      <c r="E261">
        <v>595</v>
      </c>
      <c r="F261">
        <f t="shared" si="4"/>
        <v>725</v>
      </c>
      <c r="G261">
        <v>825</v>
      </c>
      <c r="H261">
        <v>950</v>
      </c>
    </row>
    <row r="262" spans="1:8" x14ac:dyDescent="0.25">
      <c r="A262" s="10">
        <v>256</v>
      </c>
      <c r="B262" t="s">
        <v>318</v>
      </c>
      <c r="C262" s="2" t="s">
        <v>333</v>
      </c>
      <c r="D262" s="1" t="s">
        <v>342</v>
      </c>
      <c r="E262">
        <v>795</v>
      </c>
      <c r="F262">
        <f t="shared" si="4"/>
        <v>895</v>
      </c>
      <c r="G262">
        <v>995</v>
      </c>
      <c r="H262">
        <v>1150</v>
      </c>
    </row>
    <row r="263" spans="1:8" x14ac:dyDescent="0.25">
      <c r="A263" s="10">
        <v>257</v>
      </c>
      <c r="B263" t="s">
        <v>318</v>
      </c>
      <c r="C263" s="2" t="s">
        <v>334</v>
      </c>
      <c r="D263" s="1" t="s">
        <v>342</v>
      </c>
      <c r="E263">
        <v>795</v>
      </c>
      <c r="F263">
        <f t="shared" si="4"/>
        <v>900</v>
      </c>
      <c r="G263">
        <v>1000</v>
      </c>
      <c r="H263">
        <v>1250</v>
      </c>
    </row>
    <row r="264" spans="1:8" x14ac:dyDescent="0.25">
      <c r="A264" s="10">
        <v>258</v>
      </c>
      <c r="B264" t="s">
        <v>318</v>
      </c>
      <c r="C264" s="2" t="s">
        <v>335</v>
      </c>
      <c r="D264" s="1" t="s">
        <v>342</v>
      </c>
      <c r="E264">
        <v>1025</v>
      </c>
      <c r="F264">
        <f t="shared" si="4"/>
        <v>1200</v>
      </c>
      <c r="G264">
        <v>1300</v>
      </c>
      <c r="H264">
        <v>1650</v>
      </c>
    </row>
    <row r="265" spans="1:8" x14ac:dyDescent="0.25">
      <c r="A265" s="10">
        <v>259</v>
      </c>
      <c r="B265" t="s">
        <v>318</v>
      </c>
      <c r="C265" s="2" t="s">
        <v>336</v>
      </c>
      <c r="D265" s="1" t="s">
        <v>342</v>
      </c>
      <c r="E265">
        <v>1140</v>
      </c>
      <c r="F265">
        <f t="shared" si="4"/>
        <v>1400</v>
      </c>
      <c r="G265">
        <v>1500</v>
      </c>
      <c r="H265">
        <v>1750</v>
      </c>
    </row>
    <row r="266" spans="1:8" x14ac:dyDescent="0.25">
      <c r="A266" s="10">
        <v>260</v>
      </c>
      <c r="B266" t="s">
        <v>318</v>
      </c>
      <c r="C266" s="2" t="s">
        <v>337</v>
      </c>
      <c r="D266" s="1" t="s">
        <v>342</v>
      </c>
      <c r="E266">
        <v>1375</v>
      </c>
      <c r="F266">
        <f t="shared" si="4"/>
        <v>1550</v>
      </c>
      <c r="G266">
        <v>1650</v>
      </c>
      <c r="H266">
        <v>1900</v>
      </c>
    </row>
    <row r="267" spans="1:8" x14ac:dyDescent="0.25">
      <c r="A267" s="10">
        <v>261</v>
      </c>
      <c r="B267" t="s">
        <v>318</v>
      </c>
      <c r="C267" s="2" t="s">
        <v>338</v>
      </c>
      <c r="D267" s="1" t="s">
        <v>342</v>
      </c>
      <c r="E267">
        <v>1375</v>
      </c>
      <c r="F267">
        <f t="shared" si="4"/>
        <v>1650</v>
      </c>
      <c r="G267">
        <v>1750</v>
      </c>
      <c r="H267">
        <v>2050</v>
      </c>
    </row>
    <row r="268" spans="1:8" x14ac:dyDescent="0.25">
      <c r="A268" s="10">
        <v>262</v>
      </c>
      <c r="B268" t="s">
        <v>318</v>
      </c>
      <c r="C268" s="2" t="s">
        <v>339</v>
      </c>
      <c r="D268" s="1" t="s">
        <v>342</v>
      </c>
      <c r="E268">
        <v>1695</v>
      </c>
      <c r="F268">
        <f t="shared" si="4"/>
        <v>1900</v>
      </c>
      <c r="G268">
        <v>2000</v>
      </c>
      <c r="H268">
        <v>2200</v>
      </c>
    </row>
    <row r="269" spans="1:8" x14ac:dyDescent="0.25">
      <c r="A269" s="10">
        <v>263</v>
      </c>
      <c r="B269" t="s">
        <v>318</v>
      </c>
      <c r="C269" s="2" t="s">
        <v>340</v>
      </c>
      <c r="D269" s="1" t="s">
        <v>342</v>
      </c>
      <c r="E269">
        <v>1950</v>
      </c>
      <c r="F269">
        <f t="shared" si="4"/>
        <v>2150</v>
      </c>
      <c r="G269">
        <v>2250</v>
      </c>
      <c r="H269">
        <v>2450</v>
      </c>
    </row>
    <row r="270" spans="1:8" x14ac:dyDescent="0.25">
      <c r="A270" s="10">
        <v>264</v>
      </c>
      <c r="B270" t="s">
        <v>318</v>
      </c>
      <c r="C270" s="2" t="s">
        <v>341</v>
      </c>
      <c r="D270" s="1" t="s">
        <v>342</v>
      </c>
      <c r="E270">
        <v>2150</v>
      </c>
      <c r="F270">
        <f t="shared" si="4"/>
        <v>2500</v>
      </c>
      <c r="G270">
        <v>2600</v>
      </c>
      <c r="H270">
        <v>2850</v>
      </c>
    </row>
    <row r="271" spans="1:8" x14ac:dyDescent="0.25">
      <c r="C271"/>
    </row>
    <row r="272" spans="1:8" x14ac:dyDescent="0.25">
      <c r="A272" s="10">
        <v>265</v>
      </c>
      <c r="B272" t="s">
        <v>557</v>
      </c>
      <c r="C272" s="2" t="s">
        <v>558</v>
      </c>
      <c r="D272" s="1" t="s">
        <v>568</v>
      </c>
      <c r="E272">
        <v>100</v>
      </c>
      <c r="F272">
        <f>SUM(G272-30)</f>
        <v>110</v>
      </c>
      <c r="G272">
        <v>140</v>
      </c>
      <c r="H272">
        <v>145</v>
      </c>
    </row>
    <row r="273" spans="1:8" x14ac:dyDescent="0.25">
      <c r="A273" s="10">
        <v>266</v>
      </c>
      <c r="B273" t="s">
        <v>557</v>
      </c>
      <c r="C273" s="2" t="s">
        <v>559</v>
      </c>
      <c r="D273" s="1" t="s">
        <v>568</v>
      </c>
      <c r="E273">
        <v>120</v>
      </c>
      <c r="F273">
        <f t="shared" ref="F273:F281" si="5">SUM(G273-30)</f>
        <v>120</v>
      </c>
      <c r="G273">
        <v>150</v>
      </c>
      <c r="H273">
        <v>160</v>
      </c>
    </row>
    <row r="274" spans="1:8" x14ac:dyDescent="0.25">
      <c r="A274" s="10">
        <v>267</v>
      </c>
      <c r="B274" t="s">
        <v>557</v>
      </c>
      <c r="C274" s="2" t="s">
        <v>560</v>
      </c>
      <c r="D274" s="1" t="s">
        <v>568</v>
      </c>
      <c r="E274">
        <v>130</v>
      </c>
      <c r="F274">
        <f t="shared" si="5"/>
        <v>150</v>
      </c>
      <c r="G274">
        <v>180</v>
      </c>
      <c r="H274">
        <v>195</v>
      </c>
    </row>
    <row r="275" spans="1:8" x14ac:dyDescent="0.25">
      <c r="A275" s="10">
        <v>268</v>
      </c>
      <c r="B275" t="s">
        <v>557</v>
      </c>
      <c r="C275" s="2" t="s">
        <v>561</v>
      </c>
      <c r="D275" s="1" t="s">
        <v>568</v>
      </c>
      <c r="E275">
        <v>165</v>
      </c>
      <c r="F275">
        <f t="shared" si="5"/>
        <v>170</v>
      </c>
      <c r="G275">
        <v>200</v>
      </c>
      <c r="H275">
        <v>215</v>
      </c>
    </row>
    <row r="276" spans="1:8" x14ac:dyDescent="0.25">
      <c r="A276" s="10">
        <v>269</v>
      </c>
      <c r="B276" t="s">
        <v>557</v>
      </c>
      <c r="C276" s="2" t="s">
        <v>562</v>
      </c>
      <c r="D276" s="1" t="s">
        <v>568</v>
      </c>
      <c r="E276">
        <v>195</v>
      </c>
      <c r="F276">
        <f t="shared" si="5"/>
        <v>220</v>
      </c>
      <c r="G276">
        <v>250</v>
      </c>
      <c r="H276">
        <v>265</v>
      </c>
    </row>
    <row r="277" spans="1:8" x14ac:dyDescent="0.25">
      <c r="A277" s="10">
        <v>270</v>
      </c>
      <c r="B277" t="s">
        <v>557</v>
      </c>
      <c r="C277" s="2" t="s">
        <v>563</v>
      </c>
      <c r="D277" s="1" t="s">
        <v>568</v>
      </c>
      <c r="E277">
        <v>230</v>
      </c>
      <c r="F277">
        <f t="shared" si="5"/>
        <v>250</v>
      </c>
      <c r="G277">
        <v>280</v>
      </c>
      <c r="H277">
        <v>295</v>
      </c>
    </row>
    <row r="278" spans="1:8" x14ac:dyDescent="0.25">
      <c r="A278" s="10">
        <v>271</v>
      </c>
      <c r="B278" t="s">
        <v>557</v>
      </c>
      <c r="C278" s="2" t="s">
        <v>564</v>
      </c>
      <c r="D278" s="1" t="s">
        <v>568</v>
      </c>
      <c r="E278">
        <v>270</v>
      </c>
      <c r="F278">
        <f t="shared" si="5"/>
        <v>320</v>
      </c>
      <c r="G278">
        <v>350</v>
      </c>
      <c r="H278">
        <v>365</v>
      </c>
    </row>
    <row r="279" spans="1:8" x14ac:dyDescent="0.25">
      <c r="A279" s="10">
        <v>272</v>
      </c>
      <c r="B279" t="s">
        <v>557</v>
      </c>
      <c r="C279" s="2" t="s">
        <v>565</v>
      </c>
      <c r="D279" s="1" t="s">
        <v>568</v>
      </c>
      <c r="E279">
        <v>650</v>
      </c>
      <c r="F279">
        <f t="shared" si="5"/>
        <v>720</v>
      </c>
      <c r="G279">
        <v>750</v>
      </c>
      <c r="H279">
        <v>775</v>
      </c>
    </row>
    <row r="280" spans="1:8" x14ac:dyDescent="0.25">
      <c r="A280" s="10">
        <v>273</v>
      </c>
      <c r="B280" t="s">
        <v>557</v>
      </c>
      <c r="C280" s="2" t="s">
        <v>566</v>
      </c>
      <c r="D280" s="1" t="s">
        <v>568</v>
      </c>
      <c r="E280">
        <v>700</v>
      </c>
      <c r="F280">
        <f t="shared" si="5"/>
        <v>820</v>
      </c>
      <c r="G280">
        <v>850</v>
      </c>
      <c r="H280">
        <v>875</v>
      </c>
    </row>
    <row r="281" spans="1:8" x14ac:dyDescent="0.25">
      <c r="A281" s="10">
        <v>274</v>
      </c>
      <c r="B281" t="s">
        <v>557</v>
      </c>
      <c r="C281" s="2" t="s">
        <v>567</v>
      </c>
      <c r="D281" s="1" t="s">
        <v>568</v>
      </c>
      <c r="E281">
        <v>800</v>
      </c>
      <c r="F281">
        <f t="shared" si="5"/>
        <v>920</v>
      </c>
      <c r="G281">
        <v>950</v>
      </c>
      <c r="H281">
        <v>975</v>
      </c>
    </row>
    <row r="282" spans="1:8" x14ac:dyDescent="0.25">
      <c r="C282"/>
    </row>
    <row r="283" spans="1:8" x14ac:dyDescent="0.25">
      <c r="A283" s="10">
        <v>275</v>
      </c>
      <c r="B283" t="s">
        <v>573</v>
      </c>
      <c r="C283" s="2" t="s">
        <v>569</v>
      </c>
      <c r="D283" s="1" t="s">
        <v>568</v>
      </c>
      <c r="E283">
        <v>130</v>
      </c>
      <c r="F283">
        <v>140</v>
      </c>
      <c r="G283">
        <v>180</v>
      </c>
      <c r="H283">
        <v>195</v>
      </c>
    </row>
    <row r="284" spans="1:8" x14ac:dyDescent="0.25">
      <c r="A284" s="10">
        <v>276</v>
      </c>
      <c r="B284" t="s">
        <v>573</v>
      </c>
      <c r="C284" s="2" t="s">
        <v>570</v>
      </c>
      <c r="D284" s="1" t="s">
        <v>568</v>
      </c>
      <c r="E284">
        <v>145</v>
      </c>
      <c r="F284">
        <v>140</v>
      </c>
      <c r="G284">
        <v>180</v>
      </c>
      <c r="H284">
        <v>210</v>
      </c>
    </row>
    <row r="285" spans="1:8" x14ac:dyDescent="0.25">
      <c r="A285" s="10">
        <v>277</v>
      </c>
      <c r="B285" t="s">
        <v>573</v>
      </c>
      <c r="C285" s="2" t="s">
        <v>571</v>
      </c>
      <c r="D285" s="1" t="s">
        <v>568</v>
      </c>
      <c r="E285">
        <v>150</v>
      </c>
      <c r="F285">
        <v>140</v>
      </c>
      <c r="G285">
        <v>180</v>
      </c>
      <c r="H285">
        <v>225</v>
      </c>
    </row>
    <row r="286" spans="1:8" x14ac:dyDescent="0.25">
      <c r="A286" s="10">
        <v>278</v>
      </c>
      <c r="B286" t="s">
        <v>573</v>
      </c>
      <c r="C286" s="2" t="s">
        <v>572</v>
      </c>
      <c r="D286" s="1" t="s">
        <v>568</v>
      </c>
      <c r="E286">
        <v>156</v>
      </c>
      <c r="F286">
        <v>140</v>
      </c>
      <c r="G286">
        <v>180</v>
      </c>
      <c r="H286">
        <v>235</v>
      </c>
    </row>
    <row r="288" spans="1:8" x14ac:dyDescent="0.25">
      <c r="A288" s="10">
        <v>279</v>
      </c>
      <c r="B288" t="s">
        <v>602</v>
      </c>
      <c r="C288" s="2" t="s">
        <v>603</v>
      </c>
      <c r="D288" s="1" t="s">
        <v>99</v>
      </c>
      <c r="E288">
        <v>320</v>
      </c>
      <c r="F288">
        <v>350</v>
      </c>
      <c r="G288">
        <v>450</v>
      </c>
      <c r="H288">
        <v>525</v>
      </c>
    </row>
    <row r="289" spans="1:8" x14ac:dyDescent="0.25">
      <c r="A289" s="10">
        <v>280</v>
      </c>
      <c r="B289" t="s">
        <v>668</v>
      </c>
      <c r="C289" s="2" t="s">
        <v>653</v>
      </c>
      <c r="D289" s="1" t="s">
        <v>99</v>
      </c>
      <c r="E289">
        <v>400</v>
      </c>
      <c r="F289">
        <v>500</v>
      </c>
      <c r="G289">
        <v>600</v>
      </c>
      <c r="H289">
        <f t="shared" ref="H289:H290" si="6">SUM(G289+30)</f>
        <v>630</v>
      </c>
    </row>
    <row r="290" spans="1:8" x14ac:dyDescent="0.25">
      <c r="A290" s="10">
        <v>281</v>
      </c>
      <c r="B290" t="s">
        <v>668</v>
      </c>
      <c r="C290" s="2" t="s">
        <v>659</v>
      </c>
      <c r="D290" s="1" t="s">
        <v>99</v>
      </c>
      <c r="E290">
        <v>46</v>
      </c>
      <c r="F290">
        <v>60</v>
      </c>
      <c r="G290">
        <v>100</v>
      </c>
      <c r="H290">
        <f t="shared" si="6"/>
        <v>130</v>
      </c>
    </row>
    <row r="291" spans="1:8" x14ac:dyDescent="0.25">
      <c r="A291" s="10">
        <v>282</v>
      </c>
      <c r="B291" t="s">
        <v>612</v>
      </c>
      <c r="C291" s="2" t="s">
        <v>605</v>
      </c>
      <c r="D291" s="1" t="s">
        <v>99</v>
      </c>
      <c r="E291">
        <v>790</v>
      </c>
      <c r="F291">
        <f>SUM(G291-40)</f>
        <v>810</v>
      </c>
      <c r="G291">
        <v>850</v>
      </c>
      <c r="H291">
        <f>SUM(G291+40)</f>
        <v>890</v>
      </c>
    </row>
    <row r="292" spans="1:8" x14ac:dyDescent="0.25">
      <c r="A292" s="10">
        <v>283</v>
      </c>
      <c r="B292" t="s">
        <v>612</v>
      </c>
      <c r="C292" s="2" t="s">
        <v>606</v>
      </c>
      <c r="D292" s="1" t="s">
        <v>99</v>
      </c>
      <c r="E292">
        <v>553</v>
      </c>
      <c r="F292">
        <f t="shared" ref="F292:F297" si="7">SUM(G292-40)</f>
        <v>610</v>
      </c>
      <c r="G292">
        <v>650</v>
      </c>
      <c r="H292">
        <f t="shared" ref="H292:H297" si="8">SUM(G292+40)</f>
        <v>690</v>
      </c>
    </row>
    <row r="293" spans="1:8" x14ac:dyDescent="0.25">
      <c r="A293" s="10">
        <v>284</v>
      </c>
      <c r="B293" t="s">
        <v>612</v>
      </c>
      <c r="C293" s="2" t="s">
        <v>607</v>
      </c>
      <c r="D293" s="1" t="s">
        <v>99</v>
      </c>
      <c r="E293">
        <v>600</v>
      </c>
      <c r="F293">
        <f t="shared" si="7"/>
        <v>610</v>
      </c>
      <c r="G293">
        <v>650</v>
      </c>
      <c r="H293">
        <f t="shared" si="8"/>
        <v>690</v>
      </c>
    </row>
    <row r="294" spans="1:8" x14ac:dyDescent="0.25">
      <c r="A294" s="10">
        <v>285</v>
      </c>
      <c r="B294" t="s">
        <v>612</v>
      </c>
      <c r="C294" s="2" t="s">
        <v>608</v>
      </c>
      <c r="D294" s="1" t="s">
        <v>99</v>
      </c>
      <c r="E294">
        <v>550</v>
      </c>
      <c r="F294">
        <f t="shared" si="7"/>
        <v>660</v>
      </c>
      <c r="G294">
        <v>700</v>
      </c>
      <c r="H294">
        <f t="shared" si="8"/>
        <v>740</v>
      </c>
    </row>
    <row r="295" spans="1:8" x14ac:dyDescent="0.25">
      <c r="A295" s="10">
        <v>286</v>
      </c>
      <c r="B295" t="s">
        <v>612</v>
      </c>
      <c r="C295" s="2" t="s">
        <v>609</v>
      </c>
      <c r="D295" s="1" t="s">
        <v>99</v>
      </c>
    </row>
    <row r="296" spans="1:8" x14ac:dyDescent="0.25">
      <c r="A296" s="10">
        <v>287</v>
      </c>
      <c r="B296" t="s">
        <v>612</v>
      </c>
      <c r="C296" s="2" t="s">
        <v>614</v>
      </c>
      <c r="D296" s="1" t="s">
        <v>99</v>
      </c>
      <c r="E296">
        <v>690</v>
      </c>
      <c r="F296">
        <f t="shared" si="7"/>
        <v>740</v>
      </c>
      <c r="G296">
        <v>780</v>
      </c>
      <c r="H296">
        <f t="shared" si="8"/>
        <v>820</v>
      </c>
    </row>
    <row r="297" spans="1:8" x14ac:dyDescent="0.25">
      <c r="A297" s="10">
        <v>288</v>
      </c>
      <c r="B297" t="s">
        <v>612</v>
      </c>
      <c r="C297" s="2" t="s">
        <v>610</v>
      </c>
      <c r="D297" s="1" t="s">
        <v>99</v>
      </c>
      <c r="E297">
        <v>550</v>
      </c>
      <c r="F297">
        <f t="shared" si="7"/>
        <v>660</v>
      </c>
      <c r="G297">
        <v>700</v>
      </c>
      <c r="H297">
        <f t="shared" si="8"/>
        <v>740</v>
      </c>
    </row>
    <row r="298" spans="1:8" x14ac:dyDescent="0.25">
      <c r="A298" s="10">
        <v>289</v>
      </c>
      <c r="B298" t="s">
        <v>612</v>
      </c>
      <c r="C298" s="2" t="s">
        <v>611</v>
      </c>
      <c r="D298" s="1" t="s">
        <v>99</v>
      </c>
      <c r="E298">
        <v>33</v>
      </c>
      <c r="F298">
        <v>50</v>
      </c>
      <c r="G298">
        <v>60</v>
      </c>
      <c r="H298">
        <v>65</v>
      </c>
    </row>
    <row r="299" spans="1:8" x14ac:dyDescent="0.25">
      <c r="A299" s="10">
        <v>290</v>
      </c>
      <c r="B299" t="s">
        <v>616</v>
      </c>
      <c r="C299" s="2" t="s">
        <v>613</v>
      </c>
      <c r="D299" s="1" t="s">
        <v>99</v>
      </c>
      <c r="E299">
        <v>990</v>
      </c>
      <c r="F299">
        <f t="shared" ref="F299:F303" si="9">SUM(G299-40)</f>
        <v>1060</v>
      </c>
      <c r="G299">
        <v>1100</v>
      </c>
      <c r="H299">
        <f>SUM(G299+40)</f>
        <v>1140</v>
      </c>
    </row>
    <row r="300" spans="1:8" x14ac:dyDescent="0.25">
      <c r="A300" s="10">
        <v>291</v>
      </c>
      <c r="B300" t="s">
        <v>616</v>
      </c>
      <c r="C300" s="2" t="s">
        <v>654</v>
      </c>
      <c r="D300" s="1" t="s">
        <v>99</v>
      </c>
      <c r="E300">
        <v>1046</v>
      </c>
      <c r="F300">
        <f t="shared" si="9"/>
        <v>1210</v>
      </c>
      <c r="G300">
        <v>1250</v>
      </c>
      <c r="H300">
        <f t="shared" ref="H300:H303" si="10">SUM(G300+40)</f>
        <v>1290</v>
      </c>
    </row>
    <row r="301" spans="1:8" x14ac:dyDescent="0.25">
      <c r="A301" s="10">
        <v>292</v>
      </c>
      <c r="B301" t="s">
        <v>616</v>
      </c>
      <c r="C301" s="2" t="s">
        <v>655</v>
      </c>
      <c r="D301" s="1" t="s">
        <v>99</v>
      </c>
      <c r="E301">
        <v>740</v>
      </c>
      <c r="F301">
        <f t="shared" si="9"/>
        <v>810</v>
      </c>
      <c r="G301">
        <v>850</v>
      </c>
      <c r="H301">
        <f t="shared" si="10"/>
        <v>890</v>
      </c>
    </row>
    <row r="302" spans="1:8" x14ac:dyDescent="0.25">
      <c r="A302" s="10">
        <v>293</v>
      </c>
      <c r="B302" t="s">
        <v>616</v>
      </c>
      <c r="C302" s="2" t="s">
        <v>615</v>
      </c>
      <c r="D302" s="1" t="s">
        <v>99</v>
      </c>
      <c r="E302">
        <v>1150</v>
      </c>
      <c r="F302">
        <f t="shared" si="9"/>
        <v>1410</v>
      </c>
      <c r="G302">
        <v>1450</v>
      </c>
      <c r="H302">
        <f t="shared" si="10"/>
        <v>1490</v>
      </c>
    </row>
    <row r="303" spans="1:8" x14ac:dyDescent="0.25">
      <c r="A303" s="10">
        <v>294</v>
      </c>
      <c r="B303" t="s">
        <v>616</v>
      </c>
      <c r="C303" s="2" t="s">
        <v>617</v>
      </c>
      <c r="D303" s="1" t="s">
        <v>99</v>
      </c>
      <c r="E303">
        <v>1000</v>
      </c>
      <c r="F303">
        <f t="shared" si="9"/>
        <v>1060</v>
      </c>
      <c r="G303">
        <v>1100</v>
      </c>
      <c r="H303">
        <f t="shared" si="10"/>
        <v>1140</v>
      </c>
    </row>
    <row r="304" spans="1:8" x14ac:dyDescent="0.25">
      <c r="A304" s="10">
        <v>295</v>
      </c>
      <c r="B304" t="s">
        <v>616</v>
      </c>
      <c r="C304" s="2" t="s">
        <v>618</v>
      </c>
      <c r="D304" s="1" t="s">
        <v>99</v>
      </c>
      <c r="E304">
        <v>58</v>
      </c>
      <c r="F304">
        <v>70</v>
      </c>
      <c r="G304">
        <v>80</v>
      </c>
      <c r="H304">
        <v>85</v>
      </c>
    </row>
    <row r="306" spans="1:8" x14ac:dyDescent="0.25">
      <c r="A306" s="10">
        <v>296</v>
      </c>
      <c r="B306" t="s">
        <v>619</v>
      </c>
      <c r="C306" s="2" t="s">
        <v>620</v>
      </c>
      <c r="D306" s="1" t="s">
        <v>630</v>
      </c>
      <c r="E306">
        <v>510</v>
      </c>
      <c r="F306">
        <f>SUM(G306-30)</f>
        <v>520</v>
      </c>
      <c r="G306">
        <v>550</v>
      </c>
      <c r="H306">
        <v>570</v>
      </c>
    </row>
    <row r="307" spans="1:8" x14ac:dyDescent="0.25">
      <c r="A307" s="10">
        <v>297</v>
      </c>
      <c r="B307" t="s">
        <v>619</v>
      </c>
      <c r="C307" s="2" t="s">
        <v>621</v>
      </c>
      <c r="D307" s="1" t="s">
        <v>630</v>
      </c>
      <c r="E307">
        <v>690</v>
      </c>
      <c r="F307">
        <f>SUM(G307-30)</f>
        <v>720</v>
      </c>
      <c r="G307">
        <v>750</v>
      </c>
      <c r="H307">
        <v>770</v>
      </c>
    </row>
    <row r="308" spans="1:8" x14ac:dyDescent="0.25">
      <c r="A308" s="10">
        <v>298</v>
      </c>
      <c r="B308" t="s">
        <v>619</v>
      </c>
      <c r="C308" s="2" t="s">
        <v>622</v>
      </c>
      <c r="D308" s="1" t="s">
        <v>630</v>
      </c>
      <c r="E308">
        <v>1100</v>
      </c>
      <c r="F308">
        <f>SUM(G308-30)</f>
        <v>1250</v>
      </c>
      <c r="G308">
        <v>1280</v>
      </c>
      <c r="H308">
        <v>1300</v>
      </c>
    </row>
    <row r="309" spans="1:8" x14ac:dyDescent="0.25">
      <c r="A309" s="10">
        <v>299</v>
      </c>
      <c r="B309" t="s">
        <v>619</v>
      </c>
      <c r="C309" s="2" t="s">
        <v>626</v>
      </c>
      <c r="D309" s="1" t="s">
        <v>630</v>
      </c>
    </row>
    <row r="310" spans="1:8" x14ac:dyDescent="0.25">
      <c r="A310" s="10">
        <v>300</v>
      </c>
      <c r="B310" t="s">
        <v>619</v>
      </c>
      <c r="C310" s="2" t="s">
        <v>623</v>
      </c>
      <c r="D310" s="1" t="s">
        <v>630</v>
      </c>
    </row>
    <row r="311" spans="1:8" x14ac:dyDescent="0.25">
      <c r="A311" s="10">
        <v>301</v>
      </c>
      <c r="B311" t="s">
        <v>619</v>
      </c>
      <c r="C311" s="2" t="s">
        <v>624</v>
      </c>
      <c r="D311" s="1" t="s">
        <v>630</v>
      </c>
      <c r="E311">
        <v>245</v>
      </c>
      <c r="F311">
        <v>270</v>
      </c>
      <c r="G311">
        <v>310</v>
      </c>
      <c r="H311">
        <v>325</v>
      </c>
    </row>
    <row r="312" spans="1:8" x14ac:dyDescent="0.25">
      <c r="A312" s="10">
        <v>302</v>
      </c>
      <c r="B312" t="s">
        <v>619</v>
      </c>
      <c r="C312" s="2" t="s">
        <v>625</v>
      </c>
      <c r="D312" s="1" t="s">
        <v>630</v>
      </c>
    </row>
    <row r="313" spans="1:8" x14ac:dyDescent="0.25">
      <c r="A313" s="10">
        <v>303</v>
      </c>
      <c r="B313" t="s">
        <v>619</v>
      </c>
      <c r="C313" s="2" t="s">
        <v>627</v>
      </c>
      <c r="D313" s="1" t="s">
        <v>630</v>
      </c>
      <c r="E313">
        <v>825</v>
      </c>
      <c r="F313">
        <v>875</v>
      </c>
      <c r="G313">
        <v>925</v>
      </c>
      <c r="H313">
        <v>950</v>
      </c>
    </row>
    <row r="314" spans="1:8" x14ac:dyDescent="0.25">
      <c r="A314" s="10">
        <v>304</v>
      </c>
      <c r="B314" t="s">
        <v>619</v>
      </c>
      <c r="C314" s="2" t="s">
        <v>656</v>
      </c>
      <c r="D314" s="1" t="s">
        <v>630</v>
      </c>
      <c r="E314">
        <v>65</v>
      </c>
      <c r="F314">
        <v>60</v>
      </c>
      <c r="G314">
        <v>70</v>
      </c>
      <c r="H314">
        <v>75</v>
      </c>
    </row>
    <row r="315" spans="1:8" x14ac:dyDescent="0.25">
      <c r="A315" s="10">
        <v>305</v>
      </c>
      <c r="B315" t="s">
        <v>619</v>
      </c>
      <c r="C315" s="2" t="s">
        <v>657</v>
      </c>
      <c r="D315" s="1" t="s">
        <v>630</v>
      </c>
      <c r="E315">
        <v>880</v>
      </c>
      <c r="F315">
        <v>1000</v>
      </c>
      <c r="G315">
        <v>1225</v>
      </c>
      <c r="H315">
        <v>1235</v>
      </c>
    </row>
    <row r="316" spans="1:8" x14ac:dyDescent="0.25">
      <c r="A316" s="10">
        <v>306</v>
      </c>
      <c r="B316" t="s">
        <v>619</v>
      </c>
      <c r="C316" s="2" t="s">
        <v>657</v>
      </c>
      <c r="D316" s="1" t="s">
        <v>630</v>
      </c>
      <c r="E316">
        <v>80</v>
      </c>
      <c r="F316">
        <v>80</v>
      </c>
      <c r="G316">
        <v>100</v>
      </c>
      <c r="H316">
        <v>105</v>
      </c>
    </row>
    <row r="317" spans="1:8" x14ac:dyDescent="0.25">
      <c r="A317" s="10">
        <v>307</v>
      </c>
      <c r="B317" t="s">
        <v>619</v>
      </c>
      <c r="C317" s="2" t="s">
        <v>628</v>
      </c>
      <c r="D317" s="1" t="s">
        <v>630</v>
      </c>
      <c r="E317">
        <v>1320</v>
      </c>
      <c r="F317">
        <v>1450</v>
      </c>
      <c r="G317">
        <v>1575</v>
      </c>
      <c r="H317">
        <v>1625</v>
      </c>
    </row>
    <row r="318" spans="1:8" x14ac:dyDescent="0.25">
      <c r="A318" s="10">
        <v>308</v>
      </c>
      <c r="B318" t="s">
        <v>619</v>
      </c>
      <c r="C318" s="2" t="s">
        <v>658</v>
      </c>
      <c r="D318" s="1" t="s">
        <v>630</v>
      </c>
      <c r="E318">
        <v>100</v>
      </c>
      <c r="F318">
        <v>110</v>
      </c>
      <c r="G318">
        <v>130</v>
      </c>
      <c r="H318">
        <v>135</v>
      </c>
    </row>
    <row r="319" spans="1:8" x14ac:dyDescent="0.25">
      <c r="A319" s="10">
        <v>309</v>
      </c>
      <c r="B319" t="s">
        <v>619</v>
      </c>
      <c r="C319" s="2" t="s">
        <v>629</v>
      </c>
      <c r="D319" s="1" t="s">
        <v>630</v>
      </c>
    </row>
    <row r="320" spans="1:8" x14ac:dyDescent="0.25">
      <c r="A320" s="10">
        <v>310</v>
      </c>
      <c r="B320" t="s">
        <v>619</v>
      </c>
      <c r="C320" s="2" t="s">
        <v>631</v>
      </c>
      <c r="D320" s="1" t="s">
        <v>630</v>
      </c>
    </row>
    <row r="321" spans="1:8" x14ac:dyDescent="0.25">
      <c r="A321" s="10">
        <v>311</v>
      </c>
      <c r="B321" t="s">
        <v>619</v>
      </c>
      <c r="C321" s="2" t="s">
        <v>632</v>
      </c>
      <c r="D321" s="1" t="s">
        <v>630</v>
      </c>
      <c r="E321">
        <v>900</v>
      </c>
      <c r="F321">
        <v>950</v>
      </c>
      <c r="G321">
        <v>1095</v>
      </c>
      <c r="H321">
        <f>SUM(G321+30)</f>
        <v>1125</v>
      </c>
    </row>
    <row r="322" spans="1:8" x14ac:dyDescent="0.25">
      <c r="A322" s="10">
        <v>312</v>
      </c>
      <c r="B322" t="s">
        <v>619</v>
      </c>
      <c r="C322" s="2" t="s">
        <v>669</v>
      </c>
      <c r="D322" s="1" t="s">
        <v>630</v>
      </c>
      <c r="E322">
        <v>60</v>
      </c>
      <c r="F322">
        <v>80</v>
      </c>
      <c r="G322">
        <v>100</v>
      </c>
      <c r="H322">
        <v>110</v>
      </c>
    </row>
    <row r="323" spans="1:8" x14ac:dyDescent="0.25">
      <c r="A323" s="10">
        <v>313</v>
      </c>
      <c r="B323" t="s">
        <v>619</v>
      </c>
      <c r="C323" s="2" t="s">
        <v>633</v>
      </c>
      <c r="D323" s="1" t="s">
        <v>630</v>
      </c>
      <c r="E323">
        <v>1500</v>
      </c>
      <c r="F323">
        <v>1550</v>
      </c>
      <c r="G323">
        <v>1650</v>
      </c>
      <c r="H323">
        <f>SUM(G323+30)</f>
        <v>1680</v>
      </c>
    </row>
    <row r="324" spans="1:8" x14ac:dyDescent="0.25">
      <c r="A324" s="10">
        <v>314</v>
      </c>
      <c r="B324" t="s">
        <v>619</v>
      </c>
      <c r="C324" s="2" t="s">
        <v>670</v>
      </c>
      <c r="D324" s="1" t="s">
        <v>630</v>
      </c>
      <c r="E324">
        <v>90</v>
      </c>
      <c r="F324">
        <v>100</v>
      </c>
      <c r="G324">
        <v>130</v>
      </c>
      <c r="H324">
        <v>135</v>
      </c>
    </row>
    <row r="325" spans="1:8" x14ac:dyDescent="0.25">
      <c r="A325" s="10">
        <v>315</v>
      </c>
      <c r="B325" t="s">
        <v>619</v>
      </c>
      <c r="C325" s="2" t="s">
        <v>634</v>
      </c>
      <c r="D325" s="1" t="s">
        <v>630</v>
      </c>
      <c r="E325">
        <v>2350</v>
      </c>
      <c r="F325">
        <v>2500</v>
      </c>
      <c r="G325">
        <v>2775</v>
      </c>
      <c r="H325">
        <f>SUM(G325+30)</f>
        <v>2805</v>
      </c>
    </row>
    <row r="326" spans="1:8" x14ac:dyDescent="0.25">
      <c r="A326" s="10">
        <v>316</v>
      </c>
      <c r="B326" t="s">
        <v>619</v>
      </c>
      <c r="C326" s="2" t="s">
        <v>671</v>
      </c>
      <c r="D326" s="1" t="s">
        <v>630</v>
      </c>
      <c r="E326">
        <v>140</v>
      </c>
      <c r="F326">
        <v>160</v>
      </c>
      <c r="G326">
        <v>200</v>
      </c>
      <c r="H326">
        <v>210</v>
      </c>
    </row>
    <row r="327" spans="1:8" x14ac:dyDescent="0.25">
      <c r="A327" s="10">
        <v>317</v>
      </c>
      <c r="B327" t="s">
        <v>619</v>
      </c>
      <c r="C327" s="2" t="s">
        <v>635</v>
      </c>
      <c r="D327" s="1" t="s">
        <v>630</v>
      </c>
      <c r="E327">
        <v>1150</v>
      </c>
      <c r="F327">
        <v>1500</v>
      </c>
      <c r="G327">
        <v>1975</v>
      </c>
      <c r="H327">
        <f>SUM(G327+30)</f>
        <v>2005</v>
      </c>
    </row>
    <row r="328" spans="1:8" x14ac:dyDescent="0.25">
      <c r="A328" s="10">
        <v>318</v>
      </c>
      <c r="B328" t="s">
        <v>619</v>
      </c>
      <c r="C328" s="2" t="s">
        <v>672</v>
      </c>
      <c r="D328" s="1" t="s">
        <v>630</v>
      </c>
      <c r="E328">
        <v>70</v>
      </c>
      <c r="F328">
        <v>100</v>
      </c>
      <c r="G328">
        <v>150</v>
      </c>
      <c r="H328">
        <v>160</v>
      </c>
    </row>
    <row r="329" spans="1:8" x14ac:dyDescent="0.25">
      <c r="A329" s="10">
        <v>319</v>
      </c>
      <c r="B329" t="s">
        <v>619</v>
      </c>
      <c r="C329" s="2" t="s">
        <v>636</v>
      </c>
      <c r="D329" s="1" t="s">
        <v>630</v>
      </c>
      <c r="E329">
        <v>2150</v>
      </c>
      <c r="F329">
        <v>1450</v>
      </c>
      <c r="G329">
        <v>2750</v>
      </c>
      <c r="H329">
        <f>SUM(G329+30)</f>
        <v>2780</v>
      </c>
    </row>
    <row r="330" spans="1:8" x14ac:dyDescent="0.25">
      <c r="A330" s="10">
        <v>320</v>
      </c>
      <c r="B330" t="s">
        <v>619</v>
      </c>
      <c r="C330" s="2" t="s">
        <v>673</v>
      </c>
      <c r="D330" s="1" t="s">
        <v>630</v>
      </c>
      <c r="E330">
        <v>125</v>
      </c>
      <c r="F330">
        <v>150</v>
      </c>
      <c r="G330">
        <v>200</v>
      </c>
      <c r="H330">
        <v>210</v>
      </c>
    </row>
    <row r="331" spans="1:8" x14ac:dyDescent="0.25">
      <c r="A331" s="10">
        <v>321</v>
      </c>
      <c r="B331" t="s">
        <v>619</v>
      </c>
      <c r="C331" s="2" t="s">
        <v>637</v>
      </c>
      <c r="D331" s="1" t="s">
        <v>630</v>
      </c>
    </row>
    <row r="332" spans="1:8" x14ac:dyDescent="0.25">
      <c r="A332" s="10">
        <v>322</v>
      </c>
      <c r="B332" t="s">
        <v>619</v>
      </c>
      <c r="C332" s="2" t="s">
        <v>638</v>
      </c>
      <c r="D332" s="1" t="s">
        <v>630</v>
      </c>
      <c r="E332">
        <v>130</v>
      </c>
      <c r="F332">
        <v>180</v>
      </c>
      <c r="G332">
        <v>260</v>
      </c>
      <c r="H332">
        <f t="shared" ref="H332:H344" si="11">SUM(G332+30)</f>
        <v>290</v>
      </c>
    </row>
    <row r="333" spans="1:8" x14ac:dyDescent="0.25">
      <c r="A333" s="10">
        <v>323</v>
      </c>
      <c r="B333" t="s">
        <v>652</v>
      </c>
      <c r="C333" s="2" t="s">
        <v>648</v>
      </c>
      <c r="D333" s="1" t="s">
        <v>630</v>
      </c>
      <c r="E333">
        <v>230</v>
      </c>
      <c r="F333">
        <v>180</v>
      </c>
      <c r="G333">
        <v>260</v>
      </c>
      <c r="H333">
        <f t="shared" si="11"/>
        <v>290</v>
      </c>
    </row>
    <row r="334" spans="1:8" x14ac:dyDescent="0.25">
      <c r="A334" s="10">
        <v>324</v>
      </c>
      <c r="B334" t="s">
        <v>652</v>
      </c>
      <c r="C334" s="2" t="s">
        <v>649</v>
      </c>
      <c r="D334" s="1" t="s">
        <v>630</v>
      </c>
      <c r="E334">
        <v>230</v>
      </c>
      <c r="F334">
        <v>180</v>
      </c>
      <c r="G334">
        <v>260</v>
      </c>
      <c r="H334">
        <f t="shared" si="11"/>
        <v>290</v>
      </c>
    </row>
    <row r="335" spans="1:8" x14ac:dyDescent="0.25">
      <c r="A335" s="10">
        <v>325</v>
      </c>
      <c r="B335" t="s">
        <v>652</v>
      </c>
      <c r="C335" s="2" t="s">
        <v>650</v>
      </c>
      <c r="D335" s="1" t="s">
        <v>630</v>
      </c>
      <c r="E335">
        <v>230</v>
      </c>
      <c r="F335">
        <v>180</v>
      </c>
      <c r="G335">
        <v>260</v>
      </c>
      <c r="H335">
        <f t="shared" si="11"/>
        <v>290</v>
      </c>
    </row>
    <row r="336" spans="1:8" x14ac:dyDescent="0.25">
      <c r="A336" s="10">
        <v>326</v>
      </c>
      <c r="B336" t="s">
        <v>652</v>
      </c>
      <c r="C336" s="2" t="s">
        <v>651</v>
      </c>
      <c r="D336" s="1" t="s">
        <v>630</v>
      </c>
      <c r="E336">
        <v>230</v>
      </c>
      <c r="F336">
        <v>180</v>
      </c>
      <c r="G336">
        <v>260</v>
      </c>
      <c r="H336">
        <f t="shared" si="11"/>
        <v>290</v>
      </c>
    </row>
    <row r="337" spans="1:8" x14ac:dyDescent="0.25">
      <c r="A337" s="10">
        <v>327</v>
      </c>
      <c r="B337" t="s">
        <v>666</v>
      </c>
      <c r="C337" s="2" t="s">
        <v>640</v>
      </c>
      <c r="D337" s="1" t="s">
        <v>630</v>
      </c>
      <c r="E337">
        <v>335</v>
      </c>
      <c r="F337">
        <v>450</v>
      </c>
      <c r="G337">
        <v>550</v>
      </c>
      <c r="H337">
        <f t="shared" si="11"/>
        <v>580</v>
      </c>
    </row>
    <row r="338" spans="1:8" x14ac:dyDescent="0.25">
      <c r="A338" s="10">
        <v>328</v>
      </c>
      <c r="B338" t="s">
        <v>666</v>
      </c>
      <c r="C338" s="2" t="s">
        <v>639</v>
      </c>
      <c r="D338" s="1" t="s">
        <v>630</v>
      </c>
      <c r="E338">
        <v>300</v>
      </c>
      <c r="F338">
        <v>400</v>
      </c>
      <c r="G338">
        <v>500</v>
      </c>
      <c r="H338">
        <f t="shared" si="11"/>
        <v>530</v>
      </c>
    </row>
    <row r="339" spans="1:8" x14ac:dyDescent="0.25">
      <c r="A339" s="10">
        <v>329</v>
      </c>
      <c r="B339" t="s">
        <v>667</v>
      </c>
      <c r="C339" s="2" t="s">
        <v>641</v>
      </c>
      <c r="D339" s="1" t="s">
        <v>630</v>
      </c>
      <c r="E339">
        <v>460</v>
      </c>
      <c r="F339">
        <v>560</v>
      </c>
      <c r="G339">
        <v>750</v>
      </c>
      <c r="H339">
        <f t="shared" si="11"/>
        <v>780</v>
      </c>
    </row>
    <row r="340" spans="1:8" x14ac:dyDescent="0.25">
      <c r="A340" s="10">
        <v>330</v>
      </c>
      <c r="B340" t="s">
        <v>667</v>
      </c>
      <c r="C340" s="2" t="s">
        <v>642</v>
      </c>
      <c r="D340" s="1" t="s">
        <v>630</v>
      </c>
      <c r="E340">
        <v>460</v>
      </c>
      <c r="F340">
        <v>560</v>
      </c>
      <c r="G340">
        <v>750</v>
      </c>
      <c r="H340">
        <f t="shared" si="11"/>
        <v>780</v>
      </c>
    </row>
    <row r="341" spans="1:8" x14ac:dyDescent="0.25">
      <c r="A341" s="10">
        <v>331</v>
      </c>
      <c r="B341" t="s">
        <v>667</v>
      </c>
      <c r="C341" s="2" t="s">
        <v>644</v>
      </c>
      <c r="D341" s="1" t="s">
        <v>643</v>
      </c>
      <c r="E341">
        <v>4200</v>
      </c>
      <c r="F341">
        <v>4300</v>
      </c>
      <c r="G341">
        <v>4500</v>
      </c>
      <c r="H341">
        <v>4650</v>
      </c>
    </row>
    <row r="342" spans="1:8" x14ac:dyDescent="0.25">
      <c r="A342" s="10">
        <v>332</v>
      </c>
      <c r="B342" t="s">
        <v>667</v>
      </c>
      <c r="C342" s="2" t="s">
        <v>645</v>
      </c>
      <c r="D342" s="1" t="s">
        <v>643</v>
      </c>
      <c r="E342">
        <v>6300</v>
      </c>
      <c r="F342">
        <v>6400</v>
      </c>
      <c r="G342">
        <v>6750</v>
      </c>
      <c r="H342">
        <v>6850</v>
      </c>
    </row>
    <row r="343" spans="1:8" x14ac:dyDescent="0.25">
      <c r="A343" s="10">
        <v>333</v>
      </c>
      <c r="B343" t="s">
        <v>667</v>
      </c>
      <c r="C343" s="2" t="s">
        <v>646</v>
      </c>
      <c r="D343" s="1" t="s">
        <v>643</v>
      </c>
      <c r="E343">
        <v>8400</v>
      </c>
      <c r="F343">
        <v>8500</v>
      </c>
      <c r="G343">
        <v>9000</v>
      </c>
      <c r="H343">
        <v>9250</v>
      </c>
    </row>
    <row r="344" spans="1:8" x14ac:dyDescent="0.25">
      <c r="A344" s="10">
        <v>334</v>
      </c>
      <c r="B344" t="s">
        <v>667</v>
      </c>
      <c r="C344" s="2" t="s">
        <v>647</v>
      </c>
      <c r="D344" s="1" t="s">
        <v>643</v>
      </c>
      <c r="E344">
        <v>9800</v>
      </c>
      <c r="F344">
        <v>10500</v>
      </c>
      <c r="G344">
        <v>10800</v>
      </c>
      <c r="H344">
        <f t="shared" si="11"/>
        <v>10830</v>
      </c>
    </row>
    <row r="346" spans="1:8" x14ac:dyDescent="0.25">
      <c r="A346" s="10">
        <v>335</v>
      </c>
      <c r="B346" t="s">
        <v>582</v>
      </c>
      <c r="C346" s="2" t="s">
        <v>574</v>
      </c>
      <c r="D346" s="1" t="s">
        <v>577</v>
      </c>
      <c r="E346">
        <v>195</v>
      </c>
      <c r="F346">
        <f>SUM(G346-30)</f>
        <v>210</v>
      </c>
      <c r="G346">
        <v>240</v>
      </c>
      <c r="H346">
        <f>SUM(G346+15)</f>
        <v>255</v>
      </c>
    </row>
    <row r="347" spans="1:8" x14ac:dyDescent="0.25">
      <c r="A347" s="10">
        <v>336</v>
      </c>
      <c r="B347" t="s">
        <v>582</v>
      </c>
      <c r="C347" s="2" t="s">
        <v>575</v>
      </c>
      <c r="D347" s="1" t="s">
        <v>577</v>
      </c>
      <c r="E347">
        <v>110</v>
      </c>
      <c r="F347">
        <f t="shared" ref="F347:F389" si="12">SUM(G347-30)</f>
        <v>170</v>
      </c>
      <c r="G347">
        <v>200</v>
      </c>
      <c r="H347">
        <f t="shared" ref="H347:H362" si="13">SUM(G347+15)</f>
        <v>215</v>
      </c>
    </row>
    <row r="348" spans="1:8" x14ac:dyDescent="0.25">
      <c r="A348" s="10">
        <v>337</v>
      </c>
      <c r="B348" t="s">
        <v>582</v>
      </c>
      <c r="C348" s="2" t="s">
        <v>576</v>
      </c>
      <c r="D348" s="1" t="s">
        <v>577</v>
      </c>
      <c r="E348">
        <v>350</v>
      </c>
      <c r="F348">
        <f t="shared" si="12"/>
        <v>370</v>
      </c>
      <c r="G348">
        <v>400</v>
      </c>
      <c r="H348">
        <f t="shared" si="13"/>
        <v>415</v>
      </c>
    </row>
    <row r="349" spans="1:8" x14ac:dyDescent="0.25">
      <c r="A349" s="10">
        <v>338</v>
      </c>
      <c r="B349" t="s">
        <v>582</v>
      </c>
      <c r="C349" s="2" t="s">
        <v>584</v>
      </c>
      <c r="D349" s="1" t="s">
        <v>577</v>
      </c>
      <c r="E349">
        <v>29</v>
      </c>
      <c r="F349">
        <f t="shared" si="12"/>
        <v>70</v>
      </c>
      <c r="G349">
        <v>100</v>
      </c>
      <c r="H349">
        <f t="shared" si="13"/>
        <v>115</v>
      </c>
    </row>
    <row r="350" spans="1:8" x14ac:dyDescent="0.25">
      <c r="A350" s="10">
        <v>339</v>
      </c>
      <c r="B350" t="s">
        <v>582</v>
      </c>
      <c r="C350" s="2" t="s">
        <v>583</v>
      </c>
      <c r="D350" s="1" t="s">
        <v>577</v>
      </c>
      <c r="E350">
        <v>29</v>
      </c>
      <c r="F350">
        <f t="shared" si="12"/>
        <v>70</v>
      </c>
      <c r="G350">
        <v>100</v>
      </c>
      <c r="H350">
        <f t="shared" si="13"/>
        <v>115</v>
      </c>
    </row>
    <row r="351" spans="1:8" x14ac:dyDescent="0.25">
      <c r="A351" s="10">
        <v>340</v>
      </c>
      <c r="B351" t="s">
        <v>582</v>
      </c>
      <c r="C351" s="2" t="s">
        <v>578</v>
      </c>
      <c r="D351" s="1" t="s">
        <v>577</v>
      </c>
      <c r="E351">
        <v>80</v>
      </c>
      <c r="F351">
        <f t="shared" si="12"/>
        <v>120</v>
      </c>
      <c r="G351">
        <v>150</v>
      </c>
      <c r="H351">
        <f t="shared" si="13"/>
        <v>165</v>
      </c>
    </row>
    <row r="352" spans="1:8" x14ac:dyDescent="0.25">
      <c r="A352" s="10">
        <v>341</v>
      </c>
      <c r="B352" t="s">
        <v>582</v>
      </c>
      <c r="C352" s="2" t="s">
        <v>579</v>
      </c>
      <c r="D352" s="1" t="s">
        <v>577</v>
      </c>
      <c r="E352">
        <v>110</v>
      </c>
      <c r="F352">
        <f t="shared" si="12"/>
        <v>120</v>
      </c>
      <c r="G352">
        <v>150</v>
      </c>
      <c r="H352">
        <f t="shared" si="13"/>
        <v>165</v>
      </c>
    </row>
    <row r="353" spans="1:8" x14ac:dyDescent="0.25">
      <c r="A353" s="10">
        <v>342</v>
      </c>
      <c r="B353" t="s">
        <v>582</v>
      </c>
      <c r="C353" s="2" t="s">
        <v>580</v>
      </c>
      <c r="D353" s="1" t="s">
        <v>577</v>
      </c>
      <c r="E353">
        <v>40</v>
      </c>
      <c r="F353">
        <f t="shared" si="12"/>
        <v>50</v>
      </c>
      <c r="G353">
        <v>80</v>
      </c>
      <c r="H353">
        <f t="shared" si="13"/>
        <v>95</v>
      </c>
    </row>
    <row r="354" spans="1:8" x14ac:dyDescent="0.25">
      <c r="A354" s="10">
        <v>343</v>
      </c>
      <c r="B354" t="s">
        <v>582</v>
      </c>
      <c r="C354" s="2" t="s">
        <v>581</v>
      </c>
      <c r="D354" s="1" t="s">
        <v>577</v>
      </c>
      <c r="E354">
        <v>50</v>
      </c>
      <c r="F354">
        <f t="shared" si="12"/>
        <v>70</v>
      </c>
      <c r="G354">
        <v>100</v>
      </c>
      <c r="H354">
        <f t="shared" si="13"/>
        <v>115</v>
      </c>
    </row>
    <row r="355" spans="1:8" x14ac:dyDescent="0.25">
      <c r="C355" s="2"/>
    </row>
    <row r="356" spans="1:8" x14ac:dyDescent="0.25">
      <c r="A356" s="10">
        <v>344</v>
      </c>
      <c r="B356" t="s">
        <v>596</v>
      </c>
      <c r="C356" s="2" t="s">
        <v>585</v>
      </c>
      <c r="D356" s="1" t="s">
        <v>595</v>
      </c>
      <c r="E356">
        <v>123</v>
      </c>
      <c r="F356">
        <f t="shared" si="12"/>
        <v>230</v>
      </c>
      <c r="G356">
        <v>260</v>
      </c>
      <c r="H356">
        <f t="shared" si="13"/>
        <v>275</v>
      </c>
    </row>
    <row r="357" spans="1:8" x14ac:dyDescent="0.25">
      <c r="A357" s="10">
        <v>345</v>
      </c>
      <c r="B357" t="s">
        <v>596</v>
      </c>
      <c r="C357" s="2" t="s">
        <v>586</v>
      </c>
      <c r="D357" s="1" t="s">
        <v>595</v>
      </c>
      <c r="E357">
        <v>186</v>
      </c>
      <c r="F357">
        <f t="shared" si="12"/>
        <v>260</v>
      </c>
      <c r="G357">
        <v>290</v>
      </c>
      <c r="H357">
        <f t="shared" si="13"/>
        <v>305</v>
      </c>
    </row>
    <row r="358" spans="1:8" x14ac:dyDescent="0.25">
      <c r="A358" s="10">
        <v>346</v>
      </c>
      <c r="B358" t="s">
        <v>596</v>
      </c>
      <c r="C358" s="2" t="s">
        <v>587</v>
      </c>
      <c r="D358" s="1" t="s">
        <v>595</v>
      </c>
      <c r="E358">
        <v>165</v>
      </c>
      <c r="F358">
        <f t="shared" si="12"/>
        <v>230</v>
      </c>
      <c r="G358">
        <v>260</v>
      </c>
      <c r="H358">
        <f t="shared" si="13"/>
        <v>275</v>
      </c>
    </row>
    <row r="359" spans="1:8" x14ac:dyDescent="0.25">
      <c r="A359" s="10">
        <v>347</v>
      </c>
      <c r="B359" t="s">
        <v>596</v>
      </c>
      <c r="C359" s="2" t="s">
        <v>588</v>
      </c>
      <c r="D359" s="1" t="s">
        <v>595</v>
      </c>
    </row>
    <row r="360" spans="1:8" x14ac:dyDescent="0.25">
      <c r="A360" s="10">
        <v>348</v>
      </c>
      <c r="B360" t="s">
        <v>596</v>
      </c>
      <c r="C360" s="2" t="s">
        <v>589</v>
      </c>
      <c r="D360" s="1" t="s">
        <v>595</v>
      </c>
      <c r="E360">
        <v>183</v>
      </c>
      <c r="F360">
        <f t="shared" si="12"/>
        <v>250</v>
      </c>
      <c r="G360">
        <v>280</v>
      </c>
      <c r="H360">
        <f t="shared" si="13"/>
        <v>295</v>
      </c>
    </row>
    <row r="361" spans="1:8" x14ac:dyDescent="0.25">
      <c r="A361" s="10">
        <v>349</v>
      </c>
      <c r="B361" t="s">
        <v>596</v>
      </c>
      <c r="C361" s="2" t="s">
        <v>590</v>
      </c>
      <c r="D361" s="1" t="s">
        <v>595</v>
      </c>
    </row>
    <row r="362" spans="1:8" x14ac:dyDescent="0.25">
      <c r="A362" s="10">
        <v>350</v>
      </c>
      <c r="B362" t="s">
        <v>596</v>
      </c>
      <c r="C362" s="2" t="s">
        <v>591</v>
      </c>
      <c r="D362" s="1" t="s">
        <v>595</v>
      </c>
      <c r="E362">
        <v>319</v>
      </c>
      <c r="F362">
        <f t="shared" si="12"/>
        <v>420</v>
      </c>
      <c r="G362">
        <v>450</v>
      </c>
      <c r="H362">
        <f t="shared" si="13"/>
        <v>465</v>
      </c>
    </row>
    <row r="363" spans="1:8" x14ac:dyDescent="0.25">
      <c r="A363" s="10">
        <v>351</v>
      </c>
      <c r="B363" t="s">
        <v>596</v>
      </c>
      <c r="C363" s="2" t="s">
        <v>674</v>
      </c>
      <c r="D363" s="1" t="s">
        <v>595</v>
      </c>
      <c r="E363">
        <v>243</v>
      </c>
      <c r="F363">
        <f t="shared" si="12"/>
        <v>320</v>
      </c>
      <c r="G363">
        <v>350</v>
      </c>
      <c r="H363">
        <v>405</v>
      </c>
    </row>
    <row r="364" spans="1:8" x14ac:dyDescent="0.25">
      <c r="A364" s="10">
        <v>352</v>
      </c>
      <c r="B364" t="s">
        <v>596</v>
      </c>
      <c r="C364" s="2" t="s">
        <v>592</v>
      </c>
      <c r="D364" s="1" t="s">
        <v>595</v>
      </c>
      <c r="E364">
        <v>389</v>
      </c>
      <c r="F364">
        <f t="shared" si="12"/>
        <v>520</v>
      </c>
      <c r="G364">
        <v>550</v>
      </c>
      <c r="H364">
        <v>598</v>
      </c>
    </row>
    <row r="365" spans="1:8" x14ac:dyDescent="0.25">
      <c r="A365" s="10">
        <v>353</v>
      </c>
      <c r="B365" t="s">
        <v>596</v>
      </c>
      <c r="C365" s="2" t="s">
        <v>593</v>
      </c>
      <c r="D365" s="1" t="s">
        <v>595</v>
      </c>
      <c r="E365">
        <v>396</v>
      </c>
      <c r="F365">
        <f t="shared" si="12"/>
        <v>560</v>
      </c>
      <c r="G365">
        <v>590</v>
      </c>
      <c r="H365">
        <v>660</v>
      </c>
    </row>
    <row r="366" spans="1:8" x14ac:dyDescent="0.25">
      <c r="A366" s="10">
        <v>354</v>
      </c>
      <c r="B366" t="s">
        <v>596</v>
      </c>
      <c r="C366" s="2" t="s">
        <v>594</v>
      </c>
      <c r="D366" s="1" t="s">
        <v>595</v>
      </c>
      <c r="E366">
        <v>282</v>
      </c>
      <c r="F366">
        <f t="shared" si="12"/>
        <v>400</v>
      </c>
      <c r="G366">
        <v>430</v>
      </c>
      <c r="H366">
        <v>470</v>
      </c>
    </row>
    <row r="367" spans="1:8" x14ac:dyDescent="0.25">
      <c r="A367" s="10">
        <v>355</v>
      </c>
      <c r="B367" t="s">
        <v>596</v>
      </c>
      <c r="C367" s="2" t="s">
        <v>682</v>
      </c>
      <c r="D367" s="1" t="s">
        <v>595</v>
      </c>
      <c r="E367">
        <v>537</v>
      </c>
      <c r="F367">
        <f t="shared" si="12"/>
        <v>820</v>
      </c>
      <c r="G367">
        <v>850</v>
      </c>
      <c r="H367">
        <v>895</v>
      </c>
    </row>
    <row r="368" spans="1:8" x14ac:dyDescent="0.25">
      <c r="A368" s="10">
        <v>356</v>
      </c>
      <c r="B368" t="s">
        <v>596</v>
      </c>
      <c r="C368" s="2" t="s">
        <v>597</v>
      </c>
      <c r="D368" s="1" t="s">
        <v>595</v>
      </c>
      <c r="E368">
        <v>648</v>
      </c>
      <c r="F368">
        <f t="shared" si="12"/>
        <v>920</v>
      </c>
      <c r="G368">
        <v>950</v>
      </c>
      <c r="H368">
        <v>998</v>
      </c>
    </row>
    <row r="369" spans="1:8" x14ac:dyDescent="0.25">
      <c r="A369" s="10">
        <v>357</v>
      </c>
      <c r="B369" t="s">
        <v>596</v>
      </c>
      <c r="C369" s="2" t="s">
        <v>598</v>
      </c>
      <c r="D369" s="1" t="s">
        <v>595</v>
      </c>
      <c r="E369">
        <v>350</v>
      </c>
      <c r="F369">
        <f t="shared" si="12"/>
        <v>570</v>
      </c>
      <c r="G369">
        <v>600</v>
      </c>
      <c r="H369">
        <v>997</v>
      </c>
    </row>
    <row r="370" spans="1:8" x14ac:dyDescent="0.25">
      <c r="A370" s="10">
        <v>358</v>
      </c>
      <c r="B370" t="s">
        <v>596</v>
      </c>
      <c r="C370" s="2" t="s">
        <v>599</v>
      </c>
      <c r="D370" s="1" t="s">
        <v>595</v>
      </c>
      <c r="E370">
        <v>510</v>
      </c>
      <c r="F370">
        <f t="shared" si="12"/>
        <v>760</v>
      </c>
      <c r="G370">
        <v>790</v>
      </c>
      <c r="H370">
        <v>850</v>
      </c>
    </row>
    <row r="371" spans="1:8" x14ac:dyDescent="0.25">
      <c r="A371" s="10">
        <v>359</v>
      </c>
      <c r="B371" t="s">
        <v>596</v>
      </c>
      <c r="C371" s="2" t="s">
        <v>600</v>
      </c>
      <c r="D371" s="1" t="s">
        <v>595</v>
      </c>
    </row>
    <row r="372" spans="1:8" x14ac:dyDescent="0.25">
      <c r="A372" s="10">
        <v>360</v>
      </c>
      <c r="B372" t="s">
        <v>596</v>
      </c>
      <c r="C372" s="2" t="s">
        <v>601</v>
      </c>
      <c r="D372" s="1" t="s">
        <v>595</v>
      </c>
      <c r="E372">
        <v>653</v>
      </c>
      <c r="F372">
        <f t="shared" si="12"/>
        <v>950</v>
      </c>
      <c r="G372">
        <v>980</v>
      </c>
      <c r="H372">
        <v>1089</v>
      </c>
    </row>
    <row r="373" spans="1:8" x14ac:dyDescent="0.25">
      <c r="A373" s="10">
        <v>361</v>
      </c>
      <c r="B373" t="s">
        <v>596</v>
      </c>
      <c r="C373" s="2" t="s">
        <v>604</v>
      </c>
      <c r="D373" s="1" t="s">
        <v>595</v>
      </c>
      <c r="E373">
        <v>500</v>
      </c>
      <c r="F373">
        <f t="shared" si="12"/>
        <v>720</v>
      </c>
      <c r="G373">
        <v>750</v>
      </c>
      <c r="H373">
        <v>835</v>
      </c>
    </row>
    <row r="374" spans="1:8" x14ac:dyDescent="0.25">
      <c r="A374" s="10">
        <v>362</v>
      </c>
      <c r="B374" t="s">
        <v>596</v>
      </c>
      <c r="C374" s="2" t="s">
        <v>683</v>
      </c>
      <c r="D374" s="1" t="s">
        <v>595</v>
      </c>
      <c r="E374">
        <v>567</v>
      </c>
      <c r="F374">
        <f t="shared" si="12"/>
        <v>860</v>
      </c>
      <c r="G374">
        <v>890</v>
      </c>
      <c r="H374">
        <v>945</v>
      </c>
    </row>
    <row r="375" spans="1:8" x14ac:dyDescent="0.25">
      <c r="A375" s="10">
        <v>363</v>
      </c>
      <c r="B375" t="s">
        <v>596</v>
      </c>
      <c r="C375" s="2" t="s">
        <v>675</v>
      </c>
      <c r="D375" s="1" t="s">
        <v>595</v>
      </c>
      <c r="E375">
        <v>743</v>
      </c>
      <c r="F375">
        <f t="shared" si="12"/>
        <v>1020</v>
      </c>
      <c r="G375">
        <v>1050</v>
      </c>
      <c r="H375">
        <v>1143</v>
      </c>
    </row>
    <row r="376" spans="1:8" x14ac:dyDescent="0.25">
      <c r="A376" s="10">
        <v>364</v>
      </c>
      <c r="B376" t="s">
        <v>596</v>
      </c>
      <c r="C376" s="2" t="s">
        <v>676</v>
      </c>
      <c r="D376" s="1" t="s">
        <v>595</v>
      </c>
      <c r="E376">
        <v>726</v>
      </c>
      <c r="F376">
        <f t="shared" si="12"/>
        <v>1070</v>
      </c>
      <c r="G376">
        <v>1100</v>
      </c>
      <c r="H376">
        <v>1210</v>
      </c>
    </row>
    <row r="377" spans="1:8" x14ac:dyDescent="0.25">
      <c r="A377" s="10">
        <v>365</v>
      </c>
      <c r="B377" t="s">
        <v>596</v>
      </c>
      <c r="C377" s="2" t="s">
        <v>677</v>
      </c>
      <c r="D377" s="1" t="s">
        <v>595</v>
      </c>
      <c r="E377">
        <v>531</v>
      </c>
      <c r="F377">
        <f t="shared" si="12"/>
        <v>770</v>
      </c>
      <c r="G377">
        <v>800</v>
      </c>
      <c r="H377">
        <v>885</v>
      </c>
    </row>
    <row r="378" spans="1:8" x14ac:dyDescent="0.25">
      <c r="A378" s="10">
        <v>366</v>
      </c>
      <c r="B378" t="s">
        <v>596</v>
      </c>
      <c r="C378" s="2" t="s">
        <v>678</v>
      </c>
      <c r="D378" s="1" t="s">
        <v>595</v>
      </c>
      <c r="E378">
        <v>1156</v>
      </c>
      <c r="F378">
        <f t="shared" si="12"/>
        <v>1570</v>
      </c>
      <c r="G378">
        <v>1600</v>
      </c>
      <c r="H378">
        <v>1779</v>
      </c>
    </row>
    <row r="379" spans="1:8" x14ac:dyDescent="0.25">
      <c r="A379" s="10">
        <v>367</v>
      </c>
      <c r="B379" t="s">
        <v>596</v>
      </c>
      <c r="C379" s="2" t="s">
        <v>679</v>
      </c>
      <c r="D379" s="1" t="s">
        <v>595</v>
      </c>
      <c r="E379">
        <v>870</v>
      </c>
      <c r="F379">
        <f t="shared" si="12"/>
        <v>1170</v>
      </c>
      <c r="G379">
        <v>1200</v>
      </c>
      <c r="H379">
        <v>1450</v>
      </c>
    </row>
    <row r="380" spans="1:8" x14ac:dyDescent="0.25">
      <c r="A380" s="10">
        <v>368</v>
      </c>
      <c r="B380" t="s">
        <v>596</v>
      </c>
      <c r="C380" s="2" t="s">
        <v>680</v>
      </c>
      <c r="D380" s="1" t="s">
        <v>595</v>
      </c>
      <c r="E380">
        <v>633</v>
      </c>
      <c r="F380">
        <f t="shared" si="12"/>
        <v>950</v>
      </c>
      <c r="G380">
        <v>980</v>
      </c>
      <c r="H380">
        <v>1055</v>
      </c>
    </row>
    <row r="381" spans="1:8" x14ac:dyDescent="0.25">
      <c r="A381" s="10">
        <v>369</v>
      </c>
      <c r="B381" t="s">
        <v>596</v>
      </c>
      <c r="C381" s="2" t="s">
        <v>681</v>
      </c>
      <c r="D381" s="1" t="s">
        <v>595</v>
      </c>
    </row>
    <row r="382" spans="1:8" x14ac:dyDescent="0.25">
      <c r="A382" s="10">
        <v>370</v>
      </c>
      <c r="B382" t="s">
        <v>693</v>
      </c>
      <c r="C382" s="2" t="s">
        <v>684</v>
      </c>
      <c r="D382" s="1" t="s">
        <v>685</v>
      </c>
      <c r="E382">
        <v>516</v>
      </c>
      <c r="F382">
        <f t="shared" si="12"/>
        <v>760</v>
      </c>
      <c r="G382">
        <v>790</v>
      </c>
      <c r="H382">
        <v>860</v>
      </c>
    </row>
    <row r="383" spans="1:8" x14ac:dyDescent="0.25">
      <c r="A383" s="10">
        <v>371</v>
      </c>
      <c r="B383" t="s">
        <v>693</v>
      </c>
      <c r="C383" s="2" t="s">
        <v>686</v>
      </c>
      <c r="D383" s="1" t="s">
        <v>685</v>
      </c>
      <c r="E383">
        <v>500</v>
      </c>
      <c r="F383">
        <f t="shared" si="12"/>
        <v>720</v>
      </c>
      <c r="G383">
        <v>750</v>
      </c>
      <c r="H383">
        <v>1000</v>
      </c>
    </row>
    <row r="384" spans="1:8" x14ac:dyDescent="0.25">
      <c r="A384" s="10">
        <v>372</v>
      </c>
      <c r="B384" t="s">
        <v>693</v>
      </c>
      <c r="C384" s="2" t="s">
        <v>687</v>
      </c>
      <c r="D384" s="1" t="s">
        <v>685</v>
      </c>
      <c r="E384">
        <v>400</v>
      </c>
      <c r="F384">
        <f t="shared" si="12"/>
        <v>550</v>
      </c>
      <c r="G384">
        <v>580</v>
      </c>
      <c r="H384">
        <v>650</v>
      </c>
    </row>
    <row r="385" spans="1:8" x14ac:dyDescent="0.25">
      <c r="A385" s="10">
        <v>373</v>
      </c>
      <c r="B385" t="s">
        <v>693</v>
      </c>
      <c r="C385" s="2" t="s">
        <v>688</v>
      </c>
      <c r="D385" s="1" t="s">
        <v>685</v>
      </c>
      <c r="E385">
        <v>225</v>
      </c>
      <c r="F385">
        <f t="shared" si="12"/>
        <v>420</v>
      </c>
      <c r="G385">
        <v>450</v>
      </c>
      <c r="H385">
        <v>495</v>
      </c>
    </row>
    <row r="386" spans="1:8" x14ac:dyDescent="0.25">
      <c r="A386" s="10">
        <v>374</v>
      </c>
      <c r="B386" t="s">
        <v>693</v>
      </c>
      <c r="C386" s="2" t="s">
        <v>689</v>
      </c>
      <c r="D386" s="1" t="s">
        <v>685</v>
      </c>
      <c r="E386">
        <v>728</v>
      </c>
      <c r="F386">
        <f t="shared" si="12"/>
        <v>970</v>
      </c>
      <c r="G386">
        <v>1000</v>
      </c>
      <c r="H386">
        <v>1120</v>
      </c>
    </row>
    <row r="387" spans="1:8" x14ac:dyDescent="0.25">
      <c r="A387" s="10">
        <v>375</v>
      </c>
      <c r="B387" t="s">
        <v>693</v>
      </c>
      <c r="C387" s="2" t="s">
        <v>690</v>
      </c>
      <c r="D387" s="1" t="s">
        <v>685</v>
      </c>
      <c r="E387">
        <v>225</v>
      </c>
      <c r="F387">
        <f t="shared" si="12"/>
        <v>350</v>
      </c>
      <c r="G387">
        <v>380</v>
      </c>
      <c r="H387">
        <v>395</v>
      </c>
    </row>
    <row r="388" spans="1:8" x14ac:dyDescent="0.25">
      <c r="A388" s="10">
        <v>376</v>
      </c>
      <c r="B388" t="s">
        <v>693</v>
      </c>
      <c r="C388" s="2" t="s">
        <v>691</v>
      </c>
      <c r="D388" s="1" t="s">
        <v>685</v>
      </c>
      <c r="E388">
        <v>40</v>
      </c>
      <c r="F388">
        <f t="shared" si="12"/>
        <v>70</v>
      </c>
      <c r="G388">
        <v>100</v>
      </c>
      <c r="H388">
        <v>115</v>
      </c>
    </row>
    <row r="389" spans="1:8" x14ac:dyDescent="0.25">
      <c r="A389" s="10">
        <v>377</v>
      </c>
      <c r="B389" t="s">
        <v>693</v>
      </c>
      <c r="C389" s="2" t="s">
        <v>692</v>
      </c>
      <c r="D389" s="1" t="s">
        <v>685</v>
      </c>
      <c r="E389">
        <v>205</v>
      </c>
      <c r="F389">
        <f t="shared" si="12"/>
        <v>250</v>
      </c>
      <c r="G389">
        <v>280</v>
      </c>
      <c r="H389">
        <v>295</v>
      </c>
    </row>
    <row r="390" spans="1:8" x14ac:dyDescent="0.25">
      <c r="C390" s="2"/>
    </row>
    <row r="391" spans="1:8" x14ac:dyDescent="0.25">
      <c r="A391" s="10">
        <v>378</v>
      </c>
      <c r="B391" t="s">
        <v>694</v>
      </c>
      <c r="C391" s="2" t="s">
        <v>302</v>
      </c>
      <c r="D391" s="1" t="s">
        <v>695</v>
      </c>
      <c r="E391">
        <v>350</v>
      </c>
      <c r="F391">
        <v>450</v>
      </c>
      <c r="G391">
        <v>580</v>
      </c>
      <c r="H391">
        <v>600</v>
      </c>
    </row>
    <row r="392" spans="1:8" x14ac:dyDescent="0.25">
      <c r="A392" s="10">
        <v>379</v>
      </c>
      <c r="B392" t="s">
        <v>694</v>
      </c>
      <c r="C392" s="2" t="s">
        <v>303</v>
      </c>
      <c r="D392" s="1" t="s">
        <v>695</v>
      </c>
      <c r="E392">
        <v>175</v>
      </c>
      <c r="F392">
        <v>250</v>
      </c>
      <c r="G392">
        <v>300</v>
      </c>
      <c r="H392">
        <v>315</v>
      </c>
    </row>
    <row r="393" spans="1:8" x14ac:dyDescent="0.25">
      <c r="A393" s="10">
        <v>380</v>
      </c>
      <c r="B393" t="s">
        <v>694</v>
      </c>
      <c r="C393" s="2" t="s">
        <v>304</v>
      </c>
      <c r="D393" s="1" t="s">
        <v>695</v>
      </c>
      <c r="E393">
        <v>100</v>
      </c>
      <c r="F393">
        <v>150</v>
      </c>
      <c r="G393">
        <v>200</v>
      </c>
      <c r="H393">
        <v>275</v>
      </c>
    </row>
    <row r="394" spans="1:8" x14ac:dyDescent="0.25">
      <c r="A394" s="10">
        <v>381</v>
      </c>
      <c r="B394" t="s">
        <v>694</v>
      </c>
      <c r="C394" s="2" t="s">
        <v>308</v>
      </c>
      <c r="D394" s="1" t="s">
        <v>695</v>
      </c>
      <c r="E394">
        <v>220</v>
      </c>
      <c r="F394">
        <v>350</v>
      </c>
      <c r="G394">
        <v>400</v>
      </c>
      <c r="H394">
        <v>495</v>
      </c>
    </row>
    <row r="395" spans="1:8" x14ac:dyDescent="0.25">
      <c r="A395" s="10">
        <v>382</v>
      </c>
      <c r="B395" t="s">
        <v>694</v>
      </c>
      <c r="C395" s="2" t="s">
        <v>305</v>
      </c>
      <c r="D395" s="1" t="s">
        <v>695</v>
      </c>
      <c r="E395">
        <v>263</v>
      </c>
      <c r="F395">
        <v>400</v>
      </c>
      <c r="G395">
        <v>450</v>
      </c>
      <c r="H395">
        <v>490</v>
      </c>
    </row>
    <row r="396" spans="1:8" x14ac:dyDescent="0.25">
      <c r="A396" s="10">
        <v>383</v>
      </c>
      <c r="B396" t="s">
        <v>694</v>
      </c>
      <c r="C396" s="2" t="s">
        <v>306</v>
      </c>
      <c r="D396" s="1" t="s">
        <v>695</v>
      </c>
      <c r="E396">
        <v>400</v>
      </c>
      <c r="F396">
        <v>600</v>
      </c>
      <c r="G396">
        <v>650</v>
      </c>
      <c r="H396">
        <v>825</v>
      </c>
    </row>
    <row r="397" spans="1:8" x14ac:dyDescent="0.25">
      <c r="A397" s="10">
        <v>384</v>
      </c>
      <c r="B397" t="s">
        <v>694</v>
      </c>
      <c r="C397" s="2" t="s">
        <v>309</v>
      </c>
      <c r="D397" s="1" t="s">
        <v>695</v>
      </c>
      <c r="E397">
        <v>263</v>
      </c>
      <c r="F397">
        <v>340</v>
      </c>
      <c r="G397">
        <v>390</v>
      </c>
      <c r="H397">
        <v>525</v>
      </c>
    </row>
    <row r="398" spans="1:8" x14ac:dyDescent="0.25">
      <c r="A398" s="10">
        <v>385</v>
      </c>
      <c r="B398" t="s">
        <v>694</v>
      </c>
      <c r="C398" s="2" t="s">
        <v>307</v>
      </c>
      <c r="D398" s="1" t="s">
        <v>695</v>
      </c>
      <c r="E398">
        <v>110</v>
      </c>
      <c r="F398">
        <v>150</v>
      </c>
      <c r="G398">
        <v>200</v>
      </c>
      <c r="H398">
        <v>275</v>
      </c>
    </row>
    <row r="399" spans="1:8" x14ac:dyDescent="0.25">
      <c r="A399" s="11"/>
      <c r="C399" s="2"/>
    </row>
    <row r="400" spans="1:8" x14ac:dyDescent="0.25">
      <c r="A400" s="12">
        <v>386</v>
      </c>
      <c r="B400" s="7" t="s">
        <v>218</v>
      </c>
      <c r="C400" s="7" t="s">
        <v>343</v>
      </c>
      <c r="D400" s="9" t="s">
        <v>99</v>
      </c>
      <c r="E400" s="7">
        <v>8</v>
      </c>
      <c r="F400" s="7">
        <v>15</v>
      </c>
      <c r="G400" s="7">
        <v>20</v>
      </c>
      <c r="H400" s="7">
        <v>25</v>
      </c>
    </row>
    <row r="401" spans="1:8" x14ac:dyDescent="0.25">
      <c r="A401" s="12">
        <v>387</v>
      </c>
      <c r="B401" s="7" t="s">
        <v>218</v>
      </c>
      <c r="C401" s="7" t="s">
        <v>344</v>
      </c>
      <c r="D401" s="9" t="s">
        <v>99</v>
      </c>
      <c r="E401" s="7">
        <v>8</v>
      </c>
      <c r="F401" s="7">
        <v>20</v>
      </c>
      <c r="G401" s="7">
        <v>25</v>
      </c>
      <c r="H401" s="7">
        <v>27</v>
      </c>
    </row>
    <row r="402" spans="1:8" x14ac:dyDescent="0.25">
      <c r="A402" s="12">
        <v>388</v>
      </c>
      <c r="B402" s="7" t="s">
        <v>218</v>
      </c>
      <c r="C402" s="7" t="s">
        <v>345</v>
      </c>
      <c r="D402" s="9" t="s">
        <v>99</v>
      </c>
      <c r="E402" s="7">
        <v>10</v>
      </c>
      <c r="F402" s="7">
        <v>25</v>
      </c>
      <c r="G402" s="7">
        <v>30</v>
      </c>
      <c r="H402" s="7">
        <v>35</v>
      </c>
    </row>
    <row r="403" spans="1:8" x14ac:dyDescent="0.25">
      <c r="A403" s="12">
        <v>389</v>
      </c>
      <c r="B403" s="7" t="s">
        <v>218</v>
      </c>
      <c r="C403" s="7" t="s">
        <v>346</v>
      </c>
      <c r="D403" s="9" t="s">
        <v>99</v>
      </c>
      <c r="E403" s="7">
        <v>8</v>
      </c>
      <c r="F403" s="7">
        <v>15</v>
      </c>
      <c r="G403" s="7">
        <v>20</v>
      </c>
      <c r="H403" s="7">
        <v>25</v>
      </c>
    </row>
    <row r="404" spans="1:8" x14ac:dyDescent="0.25">
      <c r="A404" s="12">
        <v>390</v>
      </c>
      <c r="B404" s="7" t="s">
        <v>218</v>
      </c>
      <c r="C404" s="7" t="s">
        <v>347</v>
      </c>
      <c r="D404" s="9" t="s">
        <v>99</v>
      </c>
      <c r="E404" s="7">
        <v>40</v>
      </c>
      <c r="F404" s="7">
        <v>80</v>
      </c>
      <c r="G404" s="7">
        <v>100</v>
      </c>
      <c r="H404" s="7">
        <v>120</v>
      </c>
    </row>
    <row r="405" spans="1:8" x14ac:dyDescent="0.25">
      <c r="A405" s="12">
        <v>391</v>
      </c>
      <c r="B405" s="7" t="s">
        <v>664</v>
      </c>
      <c r="C405" s="7" t="s">
        <v>660</v>
      </c>
      <c r="D405" s="9" t="s">
        <v>99</v>
      </c>
      <c r="E405" s="7">
        <v>2690</v>
      </c>
      <c r="F405" s="7">
        <v>2690</v>
      </c>
      <c r="G405" s="7">
        <v>2690</v>
      </c>
      <c r="H405" s="7">
        <v>2750</v>
      </c>
    </row>
    <row r="406" spans="1:8" x14ac:dyDescent="0.25">
      <c r="A406" s="12">
        <v>392</v>
      </c>
      <c r="B406" s="7" t="s">
        <v>664</v>
      </c>
      <c r="C406" s="7" t="s">
        <v>661</v>
      </c>
      <c r="D406" s="9" t="s">
        <v>99</v>
      </c>
      <c r="E406" s="7">
        <v>3820</v>
      </c>
      <c r="F406" s="7">
        <v>3820</v>
      </c>
      <c r="G406" s="7">
        <v>3820</v>
      </c>
      <c r="H406" s="7">
        <v>3900</v>
      </c>
    </row>
    <row r="407" spans="1:8" x14ac:dyDescent="0.25">
      <c r="A407" s="12">
        <v>393</v>
      </c>
      <c r="B407" s="7" t="s">
        <v>664</v>
      </c>
      <c r="C407" s="7" t="s">
        <v>662</v>
      </c>
      <c r="D407" s="9" t="s">
        <v>99</v>
      </c>
      <c r="E407" s="7">
        <v>4450</v>
      </c>
      <c r="F407" s="7">
        <v>4450</v>
      </c>
      <c r="G407" s="7">
        <v>4450</v>
      </c>
      <c r="H407" s="7">
        <v>4550</v>
      </c>
    </row>
    <row r="408" spans="1:8" x14ac:dyDescent="0.25">
      <c r="A408" s="12">
        <v>394</v>
      </c>
      <c r="B408" s="7" t="s">
        <v>664</v>
      </c>
      <c r="C408" s="7" t="s">
        <v>663</v>
      </c>
      <c r="D408" s="9" t="s">
        <v>99</v>
      </c>
      <c r="E408" s="7">
        <v>5550</v>
      </c>
      <c r="F408" s="7">
        <v>5550</v>
      </c>
      <c r="G408" s="7">
        <v>5550</v>
      </c>
      <c r="H408" s="7">
        <v>5650</v>
      </c>
    </row>
    <row r="409" spans="1:8" x14ac:dyDescent="0.25">
      <c r="A409" s="12">
        <v>395</v>
      </c>
      <c r="B409" s="7" t="s">
        <v>664</v>
      </c>
      <c r="C409" s="7" t="s">
        <v>665</v>
      </c>
      <c r="D409" s="9" t="s">
        <v>99</v>
      </c>
      <c r="E409" s="7">
        <v>1070</v>
      </c>
      <c r="F409" s="7">
        <v>1070</v>
      </c>
      <c r="G409" s="7">
        <v>1070</v>
      </c>
      <c r="H409" s="7">
        <v>1120</v>
      </c>
    </row>
    <row r="410" spans="1:8" x14ac:dyDescent="0.25">
      <c r="C410"/>
    </row>
    <row r="411" spans="1:8" x14ac:dyDescent="0.25">
      <c r="A411" s="10">
        <v>396</v>
      </c>
      <c r="B411" t="s">
        <v>1195</v>
      </c>
      <c r="C411" s="2" t="s">
        <v>795</v>
      </c>
      <c r="D411" s="1" t="s">
        <v>1295</v>
      </c>
      <c r="E411">
        <v>1475</v>
      </c>
      <c r="F411">
        <v>1480</v>
      </c>
      <c r="G411">
        <v>1500</v>
      </c>
      <c r="H411">
        <v>2730</v>
      </c>
    </row>
    <row r="412" spans="1:8" x14ac:dyDescent="0.25">
      <c r="A412" s="10">
        <v>397</v>
      </c>
      <c r="B412" t="s">
        <v>1196</v>
      </c>
      <c r="C412" s="2" t="s">
        <v>796</v>
      </c>
      <c r="D412" s="1" t="s">
        <v>1295</v>
      </c>
      <c r="E412">
        <v>1475</v>
      </c>
      <c r="F412">
        <v>1480</v>
      </c>
      <c r="G412">
        <v>1500</v>
      </c>
      <c r="H412">
        <v>2730</v>
      </c>
    </row>
    <row r="413" spans="1:8" x14ac:dyDescent="0.25">
      <c r="A413" s="10">
        <v>398</v>
      </c>
      <c r="B413" t="s">
        <v>1197</v>
      </c>
      <c r="C413" s="2" t="s">
        <v>797</v>
      </c>
      <c r="D413" s="1" t="s">
        <v>1295</v>
      </c>
      <c r="E413">
        <v>1475</v>
      </c>
      <c r="F413">
        <v>1480</v>
      </c>
      <c r="G413">
        <v>1500</v>
      </c>
      <c r="H413">
        <v>2730</v>
      </c>
    </row>
    <row r="414" spans="1:8" x14ac:dyDescent="0.25">
      <c r="A414" s="10">
        <v>399</v>
      </c>
      <c r="B414" t="s">
        <v>1198</v>
      </c>
      <c r="C414" s="2" t="s">
        <v>798</v>
      </c>
      <c r="D414" s="1" t="s">
        <v>1295</v>
      </c>
      <c r="E414">
        <v>1475</v>
      </c>
      <c r="F414">
        <v>1480</v>
      </c>
      <c r="G414">
        <v>1500</v>
      </c>
      <c r="H414">
        <v>2730</v>
      </c>
    </row>
    <row r="415" spans="1:8" x14ac:dyDescent="0.25">
      <c r="A415" s="10">
        <v>400</v>
      </c>
      <c r="B415" t="s">
        <v>1199</v>
      </c>
      <c r="C415" s="2" t="s">
        <v>799</v>
      </c>
      <c r="D415" s="1" t="s">
        <v>1295</v>
      </c>
      <c r="E415">
        <v>1475</v>
      </c>
      <c r="F415">
        <v>1480</v>
      </c>
      <c r="G415">
        <v>1500</v>
      </c>
      <c r="H415">
        <v>2730</v>
      </c>
    </row>
    <row r="416" spans="1:8" x14ac:dyDescent="0.25">
      <c r="A416" s="10">
        <v>401</v>
      </c>
      <c r="B416" t="s">
        <v>1200</v>
      </c>
      <c r="C416" s="2" t="s">
        <v>800</v>
      </c>
      <c r="D416" s="1" t="s">
        <v>1295</v>
      </c>
      <c r="E416">
        <v>1475</v>
      </c>
      <c r="F416">
        <v>1480</v>
      </c>
      <c r="G416">
        <v>1500</v>
      </c>
      <c r="H416">
        <v>2730</v>
      </c>
    </row>
    <row r="417" spans="1:8" x14ac:dyDescent="0.25">
      <c r="A417" s="10">
        <v>402</v>
      </c>
      <c r="B417" t="s">
        <v>1201</v>
      </c>
      <c r="C417" s="2" t="s">
        <v>801</v>
      </c>
      <c r="D417" s="1" t="s">
        <v>1295</v>
      </c>
      <c r="E417">
        <v>1475</v>
      </c>
      <c r="F417">
        <v>1480</v>
      </c>
      <c r="G417">
        <v>1500</v>
      </c>
      <c r="H417">
        <v>2730</v>
      </c>
    </row>
    <row r="418" spans="1:8" x14ac:dyDescent="0.25">
      <c r="A418" s="10">
        <v>403</v>
      </c>
      <c r="B418" t="s">
        <v>1202</v>
      </c>
      <c r="C418" s="2" t="s">
        <v>802</v>
      </c>
      <c r="D418" s="1" t="s">
        <v>1295</v>
      </c>
      <c r="E418">
        <v>1475</v>
      </c>
      <c r="F418">
        <v>1480</v>
      </c>
      <c r="G418">
        <v>1500</v>
      </c>
      <c r="H418">
        <v>2730</v>
      </c>
    </row>
    <row r="419" spans="1:8" x14ac:dyDescent="0.25">
      <c r="A419" s="10">
        <v>404</v>
      </c>
      <c r="B419" t="s">
        <v>1203</v>
      </c>
      <c r="C419" s="2" t="s">
        <v>803</v>
      </c>
      <c r="D419" s="1" t="s">
        <v>1295</v>
      </c>
      <c r="E419">
        <v>1475</v>
      </c>
      <c r="F419">
        <v>1480</v>
      </c>
      <c r="G419">
        <v>1500</v>
      </c>
      <c r="H419">
        <v>2730</v>
      </c>
    </row>
    <row r="420" spans="1:8" x14ac:dyDescent="0.25">
      <c r="A420" s="10">
        <v>405</v>
      </c>
      <c r="B420" t="s">
        <v>1204</v>
      </c>
      <c r="C420" s="2" t="s">
        <v>804</v>
      </c>
      <c r="D420" s="1" t="s">
        <v>1295</v>
      </c>
      <c r="E420">
        <v>1475</v>
      </c>
      <c r="F420">
        <v>1480</v>
      </c>
      <c r="G420">
        <v>1500</v>
      </c>
      <c r="H420">
        <v>2730</v>
      </c>
    </row>
    <row r="421" spans="1:8" x14ac:dyDescent="0.25">
      <c r="A421" s="10">
        <v>406</v>
      </c>
      <c r="B421" t="s">
        <v>1205</v>
      </c>
      <c r="C421" s="2" t="s">
        <v>805</v>
      </c>
      <c r="D421" s="1" t="s">
        <v>1295</v>
      </c>
      <c r="E421">
        <v>1475</v>
      </c>
      <c r="F421">
        <v>1480</v>
      </c>
      <c r="G421">
        <v>1500</v>
      </c>
      <c r="H421">
        <v>2730</v>
      </c>
    </row>
    <row r="422" spans="1:8" x14ac:dyDescent="0.25">
      <c r="A422" s="10">
        <v>407</v>
      </c>
      <c r="B422" t="s">
        <v>1206</v>
      </c>
      <c r="C422" s="2" t="s">
        <v>806</v>
      </c>
      <c r="D422" s="1" t="s">
        <v>1295</v>
      </c>
      <c r="E422">
        <v>1475</v>
      </c>
      <c r="F422">
        <v>1480</v>
      </c>
      <c r="G422">
        <v>1500</v>
      </c>
      <c r="H422">
        <v>2730</v>
      </c>
    </row>
    <row r="423" spans="1:8" x14ac:dyDescent="0.25">
      <c r="A423" s="10">
        <v>408</v>
      </c>
      <c r="B423" t="s">
        <v>1207</v>
      </c>
      <c r="C423" s="2" t="s">
        <v>807</v>
      </c>
      <c r="D423" s="1" t="s">
        <v>1295</v>
      </c>
      <c r="E423">
        <v>1475</v>
      </c>
      <c r="F423">
        <v>1480</v>
      </c>
      <c r="G423">
        <v>1500</v>
      </c>
      <c r="H423">
        <v>2730</v>
      </c>
    </row>
    <row r="424" spans="1:8" x14ac:dyDescent="0.25">
      <c r="A424" s="10">
        <v>409</v>
      </c>
      <c r="B424" t="s">
        <v>1208</v>
      </c>
      <c r="C424" s="2" t="s">
        <v>808</v>
      </c>
      <c r="D424" s="1" t="s">
        <v>1295</v>
      </c>
      <c r="E424">
        <v>1475</v>
      </c>
      <c r="F424">
        <v>1480</v>
      </c>
      <c r="G424">
        <v>1500</v>
      </c>
      <c r="H424">
        <v>2730</v>
      </c>
    </row>
    <row r="425" spans="1:8" x14ac:dyDescent="0.25">
      <c r="A425" s="10">
        <v>410</v>
      </c>
      <c r="B425" t="s">
        <v>1209</v>
      </c>
      <c r="C425" s="2" t="s">
        <v>809</v>
      </c>
      <c r="D425" s="1" t="s">
        <v>1295</v>
      </c>
      <c r="E425">
        <v>1475</v>
      </c>
      <c r="F425">
        <v>1480</v>
      </c>
      <c r="G425">
        <v>1500</v>
      </c>
      <c r="H425">
        <v>2730</v>
      </c>
    </row>
    <row r="426" spans="1:8" x14ac:dyDescent="0.25">
      <c r="A426" s="10">
        <v>411</v>
      </c>
      <c r="B426" t="s">
        <v>1210</v>
      </c>
      <c r="C426" s="2" t="s">
        <v>810</v>
      </c>
      <c r="D426" s="1" t="s">
        <v>1295</v>
      </c>
      <c r="E426">
        <v>1475</v>
      </c>
      <c r="F426">
        <v>1480</v>
      </c>
      <c r="G426">
        <v>1500</v>
      </c>
      <c r="H426">
        <v>2730</v>
      </c>
    </row>
    <row r="427" spans="1:8" x14ac:dyDescent="0.25">
      <c r="A427" s="10">
        <v>412</v>
      </c>
      <c r="B427" t="s">
        <v>1211</v>
      </c>
      <c r="C427" s="2" t="s">
        <v>811</v>
      </c>
      <c r="D427" s="1" t="s">
        <v>1295</v>
      </c>
      <c r="E427">
        <v>1475</v>
      </c>
      <c r="F427">
        <v>1480</v>
      </c>
      <c r="G427">
        <v>1500</v>
      </c>
      <c r="H427">
        <v>2730</v>
      </c>
    </row>
    <row r="428" spans="1:8" x14ac:dyDescent="0.25">
      <c r="A428" s="10">
        <v>413</v>
      </c>
      <c r="B428" t="s">
        <v>1212</v>
      </c>
      <c r="C428" s="2" t="s">
        <v>812</v>
      </c>
      <c r="D428" s="1" t="s">
        <v>1295</v>
      </c>
      <c r="E428">
        <v>1475</v>
      </c>
      <c r="F428">
        <v>1480</v>
      </c>
      <c r="G428">
        <v>1500</v>
      </c>
      <c r="H428">
        <v>2730</v>
      </c>
    </row>
    <row r="429" spans="1:8" x14ac:dyDescent="0.25">
      <c r="A429" s="10">
        <v>414</v>
      </c>
      <c r="B429" t="s">
        <v>1213</v>
      </c>
      <c r="C429" s="2" t="s">
        <v>813</v>
      </c>
      <c r="D429" s="1" t="s">
        <v>1295</v>
      </c>
      <c r="E429">
        <v>1475</v>
      </c>
      <c r="F429">
        <v>1480</v>
      </c>
      <c r="G429">
        <v>1500</v>
      </c>
      <c r="H429">
        <v>2730</v>
      </c>
    </row>
    <row r="430" spans="1:8" x14ac:dyDescent="0.25">
      <c r="A430" s="10">
        <v>415</v>
      </c>
      <c r="B430" t="s">
        <v>1214</v>
      </c>
      <c r="C430" s="2" t="s">
        <v>814</v>
      </c>
      <c r="D430" s="1" t="s">
        <v>1295</v>
      </c>
      <c r="E430">
        <v>1475</v>
      </c>
      <c r="F430">
        <v>1480</v>
      </c>
      <c r="G430">
        <v>1500</v>
      </c>
      <c r="H430">
        <v>2730</v>
      </c>
    </row>
    <row r="431" spans="1:8" x14ac:dyDescent="0.25">
      <c r="A431" s="10">
        <v>416</v>
      </c>
      <c r="B431" t="s">
        <v>1215</v>
      </c>
      <c r="C431" s="2" t="s">
        <v>815</v>
      </c>
      <c r="D431" s="1" t="s">
        <v>1295</v>
      </c>
      <c r="E431">
        <v>1475</v>
      </c>
      <c r="F431">
        <v>1480</v>
      </c>
      <c r="G431">
        <v>1500</v>
      </c>
      <c r="H431">
        <v>2730</v>
      </c>
    </row>
    <row r="432" spans="1:8" x14ac:dyDescent="0.25">
      <c r="A432" s="10">
        <v>417</v>
      </c>
      <c r="B432" t="s">
        <v>1216</v>
      </c>
      <c r="C432" s="2" t="s">
        <v>816</v>
      </c>
      <c r="D432" s="1" t="s">
        <v>1295</v>
      </c>
      <c r="E432">
        <v>1475</v>
      </c>
      <c r="F432">
        <v>1480</v>
      </c>
      <c r="G432">
        <v>1500</v>
      </c>
      <c r="H432">
        <v>2730</v>
      </c>
    </row>
    <row r="433" spans="1:8" x14ac:dyDescent="0.25">
      <c r="A433" s="10">
        <v>418</v>
      </c>
      <c r="B433" t="s">
        <v>1217</v>
      </c>
      <c r="C433" s="2" t="s">
        <v>817</v>
      </c>
      <c r="D433" s="1" t="s">
        <v>1295</v>
      </c>
      <c r="E433">
        <v>1475</v>
      </c>
      <c r="F433">
        <v>1480</v>
      </c>
      <c r="G433">
        <v>1500</v>
      </c>
      <c r="H433">
        <v>2730</v>
      </c>
    </row>
    <row r="434" spans="1:8" x14ac:dyDescent="0.25">
      <c r="A434" s="10">
        <v>419</v>
      </c>
      <c r="B434" t="s">
        <v>1218</v>
      </c>
      <c r="C434" s="2" t="s">
        <v>818</v>
      </c>
      <c r="D434" s="1" t="s">
        <v>1295</v>
      </c>
      <c r="E434">
        <v>1475</v>
      </c>
      <c r="F434">
        <v>1480</v>
      </c>
      <c r="G434">
        <v>1500</v>
      </c>
      <c r="H434">
        <v>2730</v>
      </c>
    </row>
    <row r="435" spans="1:8" x14ac:dyDescent="0.25">
      <c r="A435" s="10">
        <v>420</v>
      </c>
      <c r="B435" t="s">
        <v>1219</v>
      </c>
      <c r="C435" s="2" t="s">
        <v>819</v>
      </c>
      <c r="D435" s="1" t="s">
        <v>1295</v>
      </c>
      <c r="E435">
        <v>1475</v>
      </c>
      <c r="F435">
        <v>1480</v>
      </c>
      <c r="G435">
        <v>1500</v>
      </c>
      <c r="H435">
        <v>2730</v>
      </c>
    </row>
    <row r="436" spans="1:8" x14ac:dyDescent="0.25">
      <c r="A436" s="10">
        <v>421</v>
      </c>
      <c r="B436" t="s">
        <v>1220</v>
      </c>
      <c r="C436" s="2" t="s">
        <v>820</v>
      </c>
      <c r="D436" s="1" t="s">
        <v>1295</v>
      </c>
      <c r="E436">
        <v>1475</v>
      </c>
      <c r="F436">
        <v>1480</v>
      </c>
      <c r="G436">
        <v>1500</v>
      </c>
      <c r="H436">
        <v>2730</v>
      </c>
    </row>
    <row r="437" spans="1:8" x14ac:dyDescent="0.25">
      <c r="A437" s="10">
        <v>422</v>
      </c>
      <c r="B437" t="s">
        <v>1221</v>
      </c>
      <c r="C437" s="2" t="s">
        <v>821</v>
      </c>
      <c r="D437" s="1" t="s">
        <v>1295</v>
      </c>
      <c r="E437">
        <v>1475</v>
      </c>
      <c r="F437">
        <v>1480</v>
      </c>
      <c r="G437">
        <v>1500</v>
      </c>
      <c r="H437">
        <v>2730</v>
      </c>
    </row>
    <row r="438" spans="1:8" x14ac:dyDescent="0.25">
      <c r="A438" s="10">
        <v>423</v>
      </c>
      <c r="B438" t="s">
        <v>1222</v>
      </c>
      <c r="C438" s="2" t="s">
        <v>822</v>
      </c>
      <c r="D438" s="1" t="s">
        <v>1295</v>
      </c>
      <c r="E438">
        <v>1475</v>
      </c>
      <c r="F438">
        <v>1480</v>
      </c>
      <c r="G438">
        <v>1500</v>
      </c>
      <c r="H438">
        <v>2730</v>
      </c>
    </row>
    <row r="439" spans="1:8" x14ac:dyDescent="0.25">
      <c r="A439" s="10">
        <v>424</v>
      </c>
      <c r="B439" t="s">
        <v>1223</v>
      </c>
      <c r="C439" s="2" t="s">
        <v>823</v>
      </c>
      <c r="D439" s="1" t="s">
        <v>1295</v>
      </c>
      <c r="E439">
        <v>1475</v>
      </c>
      <c r="F439">
        <v>1480</v>
      </c>
      <c r="G439">
        <v>1500</v>
      </c>
      <c r="H439">
        <v>2730</v>
      </c>
    </row>
    <row r="440" spans="1:8" x14ac:dyDescent="0.25">
      <c r="A440" s="10">
        <v>425</v>
      </c>
      <c r="B440" t="s">
        <v>1224</v>
      </c>
      <c r="C440" s="2" t="s">
        <v>824</v>
      </c>
      <c r="D440" s="1" t="s">
        <v>1295</v>
      </c>
      <c r="E440">
        <v>1475</v>
      </c>
      <c r="F440">
        <v>1480</v>
      </c>
      <c r="G440">
        <v>1500</v>
      </c>
      <c r="H440">
        <v>2730</v>
      </c>
    </row>
    <row r="441" spans="1:8" x14ac:dyDescent="0.25">
      <c r="A441" s="10">
        <v>426</v>
      </c>
      <c r="B441" t="s">
        <v>1225</v>
      </c>
      <c r="C441" s="2" t="s">
        <v>825</v>
      </c>
      <c r="D441" s="1" t="s">
        <v>1295</v>
      </c>
      <c r="E441">
        <v>1475</v>
      </c>
      <c r="F441">
        <v>1480</v>
      </c>
      <c r="G441">
        <v>1500</v>
      </c>
      <c r="H441">
        <v>2730</v>
      </c>
    </row>
    <row r="442" spans="1:8" x14ac:dyDescent="0.25">
      <c r="A442" s="10">
        <v>427</v>
      </c>
      <c r="B442" t="s">
        <v>1226</v>
      </c>
      <c r="C442" s="2" t="s">
        <v>826</v>
      </c>
      <c r="D442" s="1" t="s">
        <v>1295</v>
      </c>
      <c r="E442">
        <v>1475</v>
      </c>
      <c r="F442">
        <v>1480</v>
      </c>
      <c r="G442">
        <v>1500</v>
      </c>
      <c r="H442">
        <v>2730</v>
      </c>
    </row>
    <row r="443" spans="1:8" x14ac:dyDescent="0.25">
      <c r="A443" s="10">
        <v>428</v>
      </c>
      <c r="B443" t="s">
        <v>1227</v>
      </c>
      <c r="C443" s="2" t="s">
        <v>827</v>
      </c>
      <c r="D443" s="1" t="s">
        <v>1295</v>
      </c>
      <c r="E443">
        <v>1475</v>
      </c>
      <c r="F443">
        <v>1480</v>
      </c>
      <c r="G443">
        <v>1500</v>
      </c>
      <c r="H443">
        <v>2730</v>
      </c>
    </row>
    <row r="444" spans="1:8" x14ac:dyDescent="0.25">
      <c r="A444" s="10">
        <v>429</v>
      </c>
      <c r="B444" t="s">
        <v>1228</v>
      </c>
      <c r="C444" s="2" t="s">
        <v>828</v>
      </c>
      <c r="D444" s="1" t="s">
        <v>1295</v>
      </c>
      <c r="E444">
        <v>1475</v>
      </c>
      <c r="F444">
        <v>1480</v>
      </c>
      <c r="G444">
        <v>1500</v>
      </c>
      <c r="H444">
        <v>2730</v>
      </c>
    </row>
    <row r="445" spans="1:8" x14ac:dyDescent="0.25">
      <c r="A445" s="10">
        <v>430</v>
      </c>
      <c r="B445" t="s">
        <v>1229</v>
      </c>
      <c r="C445" s="2" t="s">
        <v>829</v>
      </c>
      <c r="D445" s="1" t="s">
        <v>1295</v>
      </c>
      <c r="E445">
        <v>1475</v>
      </c>
      <c r="F445">
        <v>1480</v>
      </c>
      <c r="G445">
        <v>1500</v>
      </c>
      <c r="H445">
        <v>2730</v>
      </c>
    </row>
    <row r="446" spans="1:8" x14ac:dyDescent="0.25">
      <c r="A446" s="10">
        <v>431</v>
      </c>
      <c r="B446" t="s">
        <v>1230</v>
      </c>
      <c r="C446" s="2" t="s">
        <v>830</v>
      </c>
      <c r="D446" s="1" t="s">
        <v>1295</v>
      </c>
      <c r="E446">
        <v>1475</v>
      </c>
      <c r="F446">
        <v>1480</v>
      </c>
      <c r="G446">
        <v>1500</v>
      </c>
      <c r="H446">
        <v>2730</v>
      </c>
    </row>
    <row r="447" spans="1:8" x14ac:dyDescent="0.25">
      <c r="A447" s="10">
        <v>432</v>
      </c>
      <c r="B447" t="s">
        <v>1231</v>
      </c>
      <c r="C447" s="2" t="s">
        <v>831</v>
      </c>
      <c r="D447" s="1" t="s">
        <v>1295</v>
      </c>
      <c r="E447">
        <v>1475</v>
      </c>
      <c r="F447">
        <v>1480</v>
      </c>
      <c r="G447">
        <v>1500</v>
      </c>
      <c r="H447">
        <v>2730</v>
      </c>
    </row>
    <row r="448" spans="1:8" x14ac:dyDescent="0.25">
      <c r="A448" s="10">
        <v>433</v>
      </c>
      <c r="B448" t="s">
        <v>1232</v>
      </c>
      <c r="C448" s="2" t="s">
        <v>832</v>
      </c>
      <c r="D448" s="1" t="s">
        <v>1295</v>
      </c>
      <c r="E448">
        <v>1475</v>
      </c>
      <c r="F448">
        <v>1480</v>
      </c>
      <c r="G448">
        <v>1500</v>
      </c>
      <c r="H448">
        <v>2730</v>
      </c>
    </row>
    <row r="449" spans="1:8" x14ac:dyDescent="0.25">
      <c r="A449" s="10">
        <v>434</v>
      </c>
      <c r="B449" t="s">
        <v>1233</v>
      </c>
      <c r="C449" s="2" t="s">
        <v>833</v>
      </c>
      <c r="D449" s="1" t="s">
        <v>1295</v>
      </c>
      <c r="E449">
        <v>1475</v>
      </c>
      <c r="F449">
        <v>1480</v>
      </c>
      <c r="G449">
        <v>1500</v>
      </c>
      <c r="H449">
        <v>2730</v>
      </c>
    </row>
    <row r="450" spans="1:8" x14ac:dyDescent="0.25">
      <c r="A450" s="10">
        <v>435</v>
      </c>
      <c r="B450" t="s">
        <v>1234</v>
      </c>
      <c r="C450" s="2" t="s">
        <v>834</v>
      </c>
      <c r="D450" s="1" t="s">
        <v>1295</v>
      </c>
      <c r="E450">
        <v>1475</v>
      </c>
      <c r="F450">
        <v>1480</v>
      </c>
      <c r="G450">
        <v>1500</v>
      </c>
      <c r="H450">
        <v>2730</v>
      </c>
    </row>
    <row r="451" spans="1:8" x14ac:dyDescent="0.25">
      <c r="A451" s="10">
        <v>436</v>
      </c>
      <c r="B451" t="s">
        <v>1235</v>
      </c>
      <c r="C451" s="2" t="s">
        <v>835</v>
      </c>
      <c r="D451" s="1" t="s">
        <v>1295</v>
      </c>
      <c r="E451">
        <v>1475</v>
      </c>
      <c r="F451">
        <v>1480</v>
      </c>
      <c r="G451">
        <v>1500</v>
      </c>
      <c r="H451">
        <v>2730</v>
      </c>
    </row>
    <row r="452" spans="1:8" x14ac:dyDescent="0.25">
      <c r="A452" s="10">
        <v>437</v>
      </c>
      <c r="B452" t="s">
        <v>1236</v>
      </c>
      <c r="C452" s="2" t="s">
        <v>836</v>
      </c>
      <c r="D452" s="1" t="s">
        <v>1295</v>
      </c>
      <c r="E452">
        <v>1475</v>
      </c>
      <c r="F452">
        <v>1480</v>
      </c>
      <c r="G452">
        <v>1500</v>
      </c>
      <c r="H452">
        <v>2730</v>
      </c>
    </row>
    <row r="453" spans="1:8" x14ac:dyDescent="0.25">
      <c r="A453" s="10">
        <v>438</v>
      </c>
      <c r="B453" t="s">
        <v>1237</v>
      </c>
      <c r="C453" s="2" t="s">
        <v>837</v>
      </c>
      <c r="D453" s="1" t="s">
        <v>1295</v>
      </c>
      <c r="E453">
        <v>1475</v>
      </c>
      <c r="F453">
        <v>1480</v>
      </c>
      <c r="G453">
        <v>1500</v>
      </c>
      <c r="H453">
        <v>2730</v>
      </c>
    </row>
    <row r="454" spans="1:8" x14ac:dyDescent="0.25">
      <c r="A454" s="10">
        <v>439</v>
      </c>
      <c r="B454" t="s">
        <v>1238</v>
      </c>
      <c r="C454" s="2" t="s">
        <v>838</v>
      </c>
      <c r="D454" s="1" t="s">
        <v>1295</v>
      </c>
      <c r="E454">
        <v>1475</v>
      </c>
      <c r="F454">
        <v>1480</v>
      </c>
      <c r="G454">
        <v>1500</v>
      </c>
      <c r="H454">
        <v>2730</v>
      </c>
    </row>
    <row r="455" spans="1:8" x14ac:dyDescent="0.25">
      <c r="A455" s="10">
        <v>440</v>
      </c>
      <c r="B455" t="s">
        <v>1239</v>
      </c>
      <c r="C455" s="2" t="s">
        <v>839</v>
      </c>
      <c r="D455" s="1" t="s">
        <v>1295</v>
      </c>
      <c r="E455">
        <v>1475</v>
      </c>
      <c r="F455">
        <v>1480</v>
      </c>
      <c r="G455">
        <v>1500</v>
      </c>
      <c r="H455">
        <v>2730</v>
      </c>
    </row>
    <row r="456" spans="1:8" x14ac:dyDescent="0.25">
      <c r="A456" s="10">
        <v>441</v>
      </c>
      <c r="B456" t="s">
        <v>1240</v>
      </c>
      <c r="C456" s="2" t="s">
        <v>840</v>
      </c>
      <c r="D456" s="1" t="s">
        <v>1295</v>
      </c>
      <c r="E456">
        <v>1475</v>
      </c>
      <c r="F456">
        <v>1480</v>
      </c>
      <c r="G456">
        <v>1500</v>
      </c>
      <c r="H456">
        <v>2730</v>
      </c>
    </row>
    <row r="457" spans="1:8" x14ac:dyDescent="0.25">
      <c r="A457" s="10">
        <v>442</v>
      </c>
      <c r="B457" t="s">
        <v>1241</v>
      </c>
      <c r="C457" s="2" t="s">
        <v>841</v>
      </c>
      <c r="D457" s="1" t="s">
        <v>1295</v>
      </c>
      <c r="E457">
        <v>1475</v>
      </c>
      <c r="F457">
        <v>1480</v>
      </c>
      <c r="G457">
        <v>1500</v>
      </c>
      <c r="H457">
        <v>2730</v>
      </c>
    </row>
    <row r="458" spans="1:8" x14ac:dyDescent="0.25">
      <c r="A458" s="10">
        <v>443</v>
      </c>
      <c r="B458" t="s">
        <v>1242</v>
      </c>
      <c r="C458" s="2" t="s">
        <v>842</v>
      </c>
      <c r="D458" s="1" t="s">
        <v>1295</v>
      </c>
      <c r="E458">
        <v>1475</v>
      </c>
      <c r="F458">
        <v>1480</v>
      </c>
      <c r="G458">
        <v>1500</v>
      </c>
      <c r="H458">
        <v>2730</v>
      </c>
    </row>
    <row r="459" spans="1:8" x14ac:dyDescent="0.25">
      <c r="A459" s="10">
        <v>444</v>
      </c>
      <c r="B459" t="s">
        <v>1243</v>
      </c>
      <c r="C459" s="2" t="s">
        <v>843</v>
      </c>
      <c r="D459" s="1" t="s">
        <v>1295</v>
      </c>
      <c r="E459">
        <v>1475</v>
      </c>
      <c r="F459">
        <v>1480</v>
      </c>
      <c r="G459">
        <v>1500</v>
      </c>
      <c r="H459">
        <v>2730</v>
      </c>
    </row>
    <row r="460" spans="1:8" x14ac:dyDescent="0.25">
      <c r="A460" s="10">
        <v>445</v>
      </c>
      <c r="B460" t="s">
        <v>1244</v>
      </c>
      <c r="C460" s="2" t="s">
        <v>844</v>
      </c>
      <c r="D460" s="1" t="s">
        <v>1295</v>
      </c>
      <c r="E460">
        <v>1475</v>
      </c>
      <c r="F460">
        <v>1480</v>
      </c>
      <c r="G460">
        <v>1500</v>
      </c>
      <c r="H460">
        <v>2730</v>
      </c>
    </row>
    <row r="461" spans="1:8" x14ac:dyDescent="0.25">
      <c r="A461" s="10">
        <v>446</v>
      </c>
      <c r="B461" t="s">
        <v>1245</v>
      </c>
      <c r="C461" s="2" t="s">
        <v>845</v>
      </c>
      <c r="D461" s="1" t="s">
        <v>1295</v>
      </c>
      <c r="E461">
        <v>1475</v>
      </c>
      <c r="F461">
        <v>1480</v>
      </c>
      <c r="G461">
        <v>1500</v>
      </c>
      <c r="H461">
        <v>2730</v>
      </c>
    </row>
    <row r="462" spans="1:8" x14ac:dyDescent="0.25">
      <c r="A462" s="10">
        <v>447</v>
      </c>
      <c r="B462" t="s">
        <v>1246</v>
      </c>
      <c r="C462" s="2" t="s">
        <v>846</v>
      </c>
      <c r="D462" s="1" t="s">
        <v>1295</v>
      </c>
      <c r="E462">
        <v>1475</v>
      </c>
      <c r="F462">
        <v>1480</v>
      </c>
      <c r="G462">
        <v>1500</v>
      </c>
      <c r="H462">
        <v>2730</v>
      </c>
    </row>
    <row r="463" spans="1:8" x14ac:dyDescent="0.25">
      <c r="A463" s="10">
        <v>448</v>
      </c>
      <c r="B463" t="s">
        <v>1247</v>
      </c>
      <c r="C463" s="2" t="s">
        <v>847</v>
      </c>
      <c r="D463" s="1" t="s">
        <v>1295</v>
      </c>
      <c r="E463">
        <v>1475</v>
      </c>
      <c r="F463">
        <v>1480</v>
      </c>
      <c r="G463">
        <v>1500</v>
      </c>
      <c r="H463">
        <v>2730</v>
      </c>
    </row>
    <row r="464" spans="1:8" x14ac:dyDescent="0.25">
      <c r="A464" s="10">
        <v>449</v>
      </c>
      <c r="B464" t="s">
        <v>1248</v>
      </c>
      <c r="C464" s="2" t="s">
        <v>848</v>
      </c>
      <c r="D464" s="1" t="s">
        <v>1295</v>
      </c>
      <c r="E464">
        <v>1475</v>
      </c>
      <c r="F464">
        <v>1480</v>
      </c>
      <c r="G464">
        <v>1500</v>
      </c>
      <c r="H464">
        <v>2730</v>
      </c>
    </row>
    <row r="465" spans="1:8" x14ac:dyDescent="0.25">
      <c r="A465" s="10">
        <v>450</v>
      </c>
      <c r="B465" t="s">
        <v>1249</v>
      </c>
      <c r="C465" s="2" t="s">
        <v>849</v>
      </c>
      <c r="D465" s="1" t="s">
        <v>1295</v>
      </c>
      <c r="E465">
        <v>1475</v>
      </c>
      <c r="F465">
        <v>1480</v>
      </c>
      <c r="G465">
        <v>1500</v>
      </c>
      <c r="H465">
        <v>2730</v>
      </c>
    </row>
    <row r="466" spans="1:8" x14ac:dyDescent="0.25">
      <c r="A466" s="10">
        <v>451</v>
      </c>
      <c r="B466" t="s">
        <v>1250</v>
      </c>
      <c r="C466" s="2" t="s">
        <v>850</v>
      </c>
      <c r="D466" s="1" t="s">
        <v>1295</v>
      </c>
      <c r="E466">
        <v>1475</v>
      </c>
      <c r="F466">
        <v>1480</v>
      </c>
      <c r="G466">
        <v>1500</v>
      </c>
      <c r="H466">
        <v>2730</v>
      </c>
    </row>
    <row r="467" spans="1:8" x14ac:dyDescent="0.25">
      <c r="A467" s="10">
        <v>452</v>
      </c>
      <c r="B467" t="s">
        <v>1251</v>
      </c>
      <c r="C467" s="2" t="s">
        <v>851</v>
      </c>
      <c r="D467" s="1" t="s">
        <v>1295</v>
      </c>
      <c r="E467">
        <v>1475</v>
      </c>
      <c r="F467">
        <v>1480</v>
      </c>
      <c r="G467">
        <v>1500</v>
      </c>
      <c r="H467">
        <v>2730</v>
      </c>
    </row>
    <row r="468" spans="1:8" x14ac:dyDescent="0.25">
      <c r="A468" s="10">
        <v>453</v>
      </c>
      <c r="B468" t="s">
        <v>1252</v>
      </c>
      <c r="C468" s="2" t="s">
        <v>852</v>
      </c>
      <c r="D468" s="1" t="s">
        <v>1295</v>
      </c>
      <c r="E468">
        <v>1475</v>
      </c>
      <c r="F468">
        <v>1480</v>
      </c>
      <c r="G468">
        <v>1500</v>
      </c>
      <c r="H468">
        <v>2730</v>
      </c>
    </row>
    <row r="469" spans="1:8" x14ac:dyDescent="0.25">
      <c r="A469" s="10">
        <v>454</v>
      </c>
      <c r="B469" t="s">
        <v>1253</v>
      </c>
      <c r="C469" s="2" t="s">
        <v>853</v>
      </c>
      <c r="D469" s="1" t="s">
        <v>1295</v>
      </c>
      <c r="E469">
        <v>1475</v>
      </c>
      <c r="F469">
        <v>1480</v>
      </c>
      <c r="G469">
        <v>1500</v>
      </c>
      <c r="H469">
        <v>2730</v>
      </c>
    </row>
    <row r="470" spans="1:8" x14ac:dyDescent="0.25">
      <c r="A470" s="10">
        <v>455</v>
      </c>
      <c r="B470" t="s">
        <v>1254</v>
      </c>
      <c r="C470" s="2" t="s">
        <v>854</v>
      </c>
      <c r="D470" s="1" t="s">
        <v>1295</v>
      </c>
      <c r="E470">
        <v>1475</v>
      </c>
      <c r="F470">
        <v>1480</v>
      </c>
      <c r="G470">
        <v>1500</v>
      </c>
      <c r="H470">
        <v>2730</v>
      </c>
    </row>
    <row r="471" spans="1:8" x14ac:dyDescent="0.25">
      <c r="A471" s="10">
        <v>456</v>
      </c>
      <c r="B471" t="s">
        <v>1255</v>
      </c>
      <c r="C471" s="2" t="s">
        <v>855</v>
      </c>
      <c r="D471" s="1" t="s">
        <v>1295</v>
      </c>
      <c r="E471">
        <v>1475</v>
      </c>
      <c r="F471">
        <v>1480</v>
      </c>
      <c r="G471">
        <v>1500</v>
      </c>
      <c r="H471">
        <v>2730</v>
      </c>
    </row>
    <row r="472" spans="1:8" x14ac:dyDescent="0.25">
      <c r="A472" s="10">
        <v>457</v>
      </c>
      <c r="B472" t="s">
        <v>1256</v>
      </c>
      <c r="C472" s="2" t="s">
        <v>856</v>
      </c>
      <c r="D472" s="1" t="s">
        <v>1295</v>
      </c>
      <c r="E472">
        <v>1475</v>
      </c>
      <c r="F472">
        <v>1480</v>
      </c>
      <c r="G472">
        <v>1500</v>
      </c>
      <c r="H472">
        <v>2730</v>
      </c>
    </row>
    <row r="473" spans="1:8" x14ac:dyDescent="0.25">
      <c r="A473" s="10">
        <v>458</v>
      </c>
      <c r="B473" t="s">
        <v>1257</v>
      </c>
      <c r="C473" s="2" t="s">
        <v>857</v>
      </c>
      <c r="D473" s="1" t="s">
        <v>1295</v>
      </c>
      <c r="E473">
        <v>1475</v>
      </c>
      <c r="F473">
        <v>1480</v>
      </c>
      <c r="G473">
        <v>1500</v>
      </c>
      <c r="H473">
        <v>2730</v>
      </c>
    </row>
    <row r="474" spans="1:8" x14ac:dyDescent="0.25">
      <c r="A474" s="10">
        <v>459</v>
      </c>
      <c r="B474" t="s">
        <v>1258</v>
      </c>
      <c r="C474" s="2" t="s">
        <v>858</v>
      </c>
      <c r="D474" s="1" t="s">
        <v>1295</v>
      </c>
      <c r="E474">
        <v>1475</v>
      </c>
      <c r="F474">
        <v>1480</v>
      </c>
      <c r="G474">
        <v>1500</v>
      </c>
      <c r="H474">
        <v>2730</v>
      </c>
    </row>
    <row r="475" spans="1:8" x14ac:dyDescent="0.25">
      <c r="A475" s="10">
        <v>460</v>
      </c>
      <c r="B475" t="s">
        <v>1259</v>
      </c>
      <c r="C475" s="2" t="s">
        <v>859</v>
      </c>
      <c r="D475" s="1" t="s">
        <v>1295</v>
      </c>
      <c r="E475">
        <v>1475</v>
      </c>
      <c r="F475">
        <v>1480</v>
      </c>
      <c r="G475">
        <v>1500</v>
      </c>
      <c r="H475">
        <v>2730</v>
      </c>
    </row>
    <row r="476" spans="1:8" x14ac:dyDescent="0.25">
      <c r="A476" s="10">
        <v>461</v>
      </c>
      <c r="B476" t="s">
        <v>1260</v>
      </c>
      <c r="C476" s="2" t="s">
        <v>860</v>
      </c>
      <c r="D476" s="1" t="s">
        <v>1295</v>
      </c>
      <c r="E476">
        <v>1475</v>
      </c>
      <c r="F476">
        <v>1480</v>
      </c>
      <c r="G476">
        <v>1500</v>
      </c>
      <c r="H476">
        <v>2730</v>
      </c>
    </row>
    <row r="477" spans="1:8" x14ac:dyDescent="0.25">
      <c r="A477" s="10">
        <v>462</v>
      </c>
      <c r="B477" t="s">
        <v>1261</v>
      </c>
      <c r="C477" s="2" t="s">
        <v>861</v>
      </c>
      <c r="D477" s="1" t="s">
        <v>1295</v>
      </c>
      <c r="E477">
        <v>1475</v>
      </c>
      <c r="F477">
        <v>1480</v>
      </c>
      <c r="G477">
        <v>1500</v>
      </c>
      <c r="H477">
        <v>2730</v>
      </c>
    </row>
    <row r="478" spans="1:8" x14ac:dyDescent="0.25">
      <c r="A478" s="10">
        <v>463</v>
      </c>
      <c r="B478" t="s">
        <v>1262</v>
      </c>
      <c r="C478" s="2" t="s">
        <v>862</v>
      </c>
      <c r="D478" s="1" t="s">
        <v>1295</v>
      </c>
      <c r="E478">
        <v>1475</v>
      </c>
      <c r="F478">
        <v>1480</v>
      </c>
      <c r="G478">
        <v>1500</v>
      </c>
      <c r="H478">
        <v>2730</v>
      </c>
    </row>
    <row r="479" spans="1:8" x14ac:dyDescent="0.25">
      <c r="A479" s="10">
        <v>464</v>
      </c>
      <c r="B479" t="s">
        <v>1263</v>
      </c>
      <c r="C479" s="2" t="s">
        <v>863</v>
      </c>
      <c r="D479" s="1" t="s">
        <v>1295</v>
      </c>
      <c r="E479">
        <v>1475</v>
      </c>
      <c r="F479">
        <v>1480</v>
      </c>
      <c r="G479">
        <v>1500</v>
      </c>
      <c r="H479">
        <v>2730</v>
      </c>
    </row>
    <row r="480" spans="1:8" x14ac:dyDescent="0.25">
      <c r="A480" s="10">
        <v>465</v>
      </c>
      <c r="B480" t="s">
        <v>1264</v>
      </c>
      <c r="C480" s="2" t="s">
        <v>864</v>
      </c>
      <c r="D480" s="1" t="s">
        <v>1295</v>
      </c>
      <c r="E480">
        <v>1475</v>
      </c>
      <c r="F480">
        <v>1480</v>
      </c>
      <c r="G480">
        <v>1500</v>
      </c>
      <c r="H480">
        <v>2730</v>
      </c>
    </row>
    <row r="481" spans="1:8" x14ac:dyDescent="0.25">
      <c r="A481" s="10">
        <v>466</v>
      </c>
      <c r="B481" t="s">
        <v>1265</v>
      </c>
      <c r="C481" s="2" t="s">
        <v>865</v>
      </c>
      <c r="D481" s="1" t="s">
        <v>1295</v>
      </c>
      <c r="E481">
        <v>1475</v>
      </c>
      <c r="F481">
        <v>1480</v>
      </c>
      <c r="G481">
        <v>1500</v>
      </c>
      <c r="H481">
        <v>2730</v>
      </c>
    </row>
    <row r="482" spans="1:8" x14ac:dyDescent="0.25">
      <c r="A482" s="10">
        <v>467</v>
      </c>
      <c r="B482" t="s">
        <v>1266</v>
      </c>
      <c r="C482" s="2" t="s">
        <v>866</v>
      </c>
      <c r="D482" s="1" t="s">
        <v>1295</v>
      </c>
      <c r="E482">
        <v>1475</v>
      </c>
      <c r="F482">
        <v>1480</v>
      </c>
      <c r="G482">
        <v>1500</v>
      </c>
      <c r="H482">
        <v>2730</v>
      </c>
    </row>
    <row r="483" spans="1:8" x14ac:dyDescent="0.25">
      <c r="A483" s="10">
        <v>468</v>
      </c>
      <c r="B483" t="s">
        <v>1267</v>
      </c>
      <c r="C483" s="2" t="s">
        <v>867</v>
      </c>
      <c r="D483" s="1" t="s">
        <v>1295</v>
      </c>
      <c r="E483">
        <v>1475</v>
      </c>
      <c r="F483">
        <v>1480</v>
      </c>
      <c r="G483">
        <v>1500</v>
      </c>
      <c r="H483">
        <v>2730</v>
      </c>
    </row>
    <row r="484" spans="1:8" x14ac:dyDescent="0.25">
      <c r="A484" s="10">
        <v>469</v>
      </c>
      <c r="B484" t="s">
        <v>1268</v>
      </c>
      <c r="C484" s="2" t="s">
        <v>868</v>
      </c>
      <c r="D484" s="1" t="s">
        <v>1295</v>
      </c>
      <c r="E484">
        <v>1475</v>
      </c>
      <c r="F484">
        <v>1480</v>
      </c>
      <c r="G484">
        <v>1500</v>
      </c>
      <c r="H484">
        <v>2730</v>
      </c>
    </row>
    <row r="485" spans="1:8" x14ac:dyDescent="0.25">
      <c r="A485" s="10">
        <v>470</v>
      </c>
      <c r="B485" t="s">
        <v>1269</v>
      </c>
      <c r="C485" s="2" t="s">
        <v>869</v>
      </c>
      <c r="D485" s="1" t="s">
        <v>1295</v>
      </c>
      <c r="E485">
        <v>1475</v>
      </c>
      <c r="F485">
        <v>1480</v>
      </c>
      <c r="G485">
        <v>1500</v>
      </c>
      <c r="H485">
        <v>2730</v>
      </c>
    </row>
    <row r="486" spans="1:8" x14ac:dyDescent="0.25">
      <c r="A486" s="10">
        <v>471</v>
      </c>
      <c r="B486" t="s">
        <v>1270</v>
      </c>
      <c r="C486" s="2" t="s">
        <v>870</v>
      </c>
      <c r="D486" s="1" t="s">
        <v>1295</v>
      </c>
      <c r="E486">
        <v>1475</v>
      </c>
      <c r="F486">
        <v>1480</v>
      </c>
      <c r="G486">
        <v>1500</v>
      </c>
      <c r="H486">
        <v>2730</v>
      </c>
    </row>
    <row r="487" spans="1:8" x14ac:dyDescent="0.25">
      <c r="A487" s="10">
        <v>472</v>
      </c>
      <c r="B487" t="s">
        <v>1271</v>
      </c>
      <c r="C487" s="2" t="s">
        <v>871</v>
      </c>
      <c r="D487" s="1" t="s">
        <v>1295</v>
      </c>
      <c r="E487">
        <v>1475</v>
      </c>
      <c r="F487">
        <v>1480</v>
      </c>
      <c r="G487">
        <v>1500</v>
      </c>
      <c r="H487">
        <v>2730</v>
      </c>
    </row>
    <row r="488" spans="1:8" x14ac:dyDescent="0.25">
      <c r="A488" s="10">
        <v>473</v>
      </c>
      <c r="B488" t="s">
        <v>1272</v>
      </c>
      <c r="C488" s="2" t="s">
        <v>872</v>
      </c>
      <c r="D488" s="1" t="s">
        <v>1295</v>
      </c>
      <c r="E488">
        <v>1475</v>
      </c>
      <c r="F488">
        <v>1480</v>
      </c>
      <c r="G488">
        <v>1500</v>
      </c>
      <c r="H488">
        <v>2730</v>
      </c>
    </row>
    <row r="489" spans="1:8" x14ac:dyDescent="0.25">
      <c r="A489" s="10">
        <v>474</v>
      </c>
      <c r="B489" t="s">
        <v>1273</v>
      </c>
      <c r="C489" s="2" t="s">
        <v>873</v>
      </c>
      <c r="D489" s="1" t="s">
        <v>1295</v>
      </c>
      <c r="E489">
        <v>1475</v>
      </c>
      <c r="F489">
        <v>1480</v>
      </c>
      <c r="G489">
        <v>1500</v>
      </c>
      <c r="H489">
        <v>2730</v>
      </c>
    </row>
    <row r="490" spans="1:8" x14ac:dyDescent="0.25">
      <c r="A490" s="10">
        <v>475</v>
      </c>
      <c r="B490" t="s">
        <v>1274</v>
      </c>
      <c r="C490" s="2" t="s">
        <v>874</v>
      </c>
      <c r="D490" s="1" t="s">
        <v>1295</v>
      </c>
      <c r="E490">
        <v>1475</v>
      </c>
      <c r="F490">
        <v>1480</v>
      </c>
      <c r="G490">
        <v>1500</v>
      </c>
      <c r="H490">
        <v>2730</v>
      </c>
    </row>
    <row r="491" spans="1:8" x14ac:dyDescent="0.25">
      <c r="A491" s="10">
        <v>476</v>
      </c>
      <c r="B491" t="s">
        <v>1275</v>
      </c>
      <c r="C491" s="2" t="s">
        <v>875</v>
      </c>
      <c r="D491" s="1" t="s">
        <v>1295</v>
      </c>
      <c r="E491">
        <v>1475</v>
      </c>
      <c r="F491">
        <v>1480</v>
      </c>
      <c r="G491">
        <v>1500</v>
      </c>
      <c r="H491">
        <v>2730</v>
      </c>
    </row>
    <row r="492" spans="1:8" x14ac:dyDescent="0.25">
      <c r="A492" s="10">
        <v>477</v>
      </c>
      <c r="B492" t="s">
        <v>1276</v>
      </c>
      <c r="C492" s="2" t="s">
        <v>876</v>
      </c>
      <c r="D492" s="1" t="s">
        <v>1295</v>
      </c>
      <c r="E492">
        <v>1475</v>
      </c>
      <c r="F492">
        <v>1480</v>
      </c>
      <c r="G492">
        <v>1500</v>
      </c>
      <c r="H492">
        <v>2730</v>
      </c>
    </row>
    <row r="493" spans="1:8" x14ac:dyDescent="0.25">
      <c r="A493" s="10">
        <v>478</v>
      </c>
      <c r="B493" t="s">
        <v>1277</v>
      </c>
      <c r="C493" s="2" t="s">
        <v>877</v>
      </c>
      <c r="D493" s="1" t="s">
        <v>1295</v>
      </c>
      <c r="E493">
        <v>1475</v>
      </c>
      <c r="F493">
        <v>1480</v>
      </c>
      <c r="G493">
        <v>1500</v>
      </c>
      <c r="H493">
        <v>2730</v>
      </c>
    </row>
    <row r="494" spans="1:8" x14ac:dyDescent="0.25">
      <c r="A494" s="10">
        <v>479</v>
      </c>
      <c r="B494" t="s">
        <v>1278</v>
      </c>
      <c r="C494" s="2" t="s">
        <v>878</v>
      </c>
      <c r="D494" s="1" t="s">
        <v>1295</v>
      </c>
      <c r="E494">
        <v>1475</v>
      </c>
      <c r="F494">
        <v>1480</v>
      </c>
      <c r="G494">
        <v>1500</v>
      </c>
      <c r="H494">
        <v>2730</v>
      </c>
    </row>
    <row r="495" spans="1:8" x14ac:dyDescent="0.25">
      <c r="A495" s="10">
        <v>480</v>
      </c>
      <c r="B495" t="s">
        <v>1279</v>
      </c>
      <c r="C495" s="2" t="s">
        <v>879</v>
      </c>
      <c r="D495" s="1" t="s">
        <v>1295</v>
      </c>
      <c r="E495">
        <v>1475</v>
      </c>
      <c r="F495">
        <v>1480</v>
      </c>
      <c r="G495">
        <v>1500</v>
      </c>
      <c r="H495">
        <v>2730</v>
      </c>
    </row>
    <row r="496" spans="1:8" x14ac:dyDescent="0.25">
      <c r="A496" s="10">
        <v>481</v>
      </c>
      <c r="B496" t="s">
        <v>1280</v>
      </c>
      <c r="C496" s="2" t="s">
        <v>880</v>
      </c>
      <c r="D496" s="1" t="s">
        <v>1295</v>
      </c>
      <c r="E496">
        <v>1475</v>
      </c>
      <c r="F496">
        <v>1480</v>
      </c>
      <c r="G496">
        <v>1500</v>
      </c>
      <c r="H496">
        <v>2730</v>
      </c>
    </row>
    <row r="497" spans="1:8" x14ac:dyDescent="0.25">
      <c r="A497" s="10">
        <v>482</v>
      </c>
      <c r="B497" t="s">
        <v>1281</v>
      </c>
      <c r="C497" s="2" t="s">
        <v>881</v>
      </c>
      <c r="D497" s="1" t="s">
        <v>1295</v>
      </c>
      <c r="E497">
        <v>1475</v>
      </c>
      <c r="F497">
        <v>1480</v>
      </c>
      <c r="G497">
        <v>1500</v>
      </c>
      <c r="H497">
        <v>2730</v>
      </c>
    </row>
    <row r="498" spans="1:8" x14ac:dyDescent="0.25">
      <c r="A498" s="10">
        <v>483</v>
      </c>
      <c r="B498" t="s">
        <v>1282</v>
      </c>
      <c r="C498" s="2" t="s">
        <v>882</v>
      </c>
      <c r="D498" s="1" t="s">
        <v>1295</v>
      </c>
      <c r="E498">
        <v>1475</v>
      </c>
      <c r="F498">
        <v>1480</v>
      </c>
      <c r="G498">
        <v>1500</v>
      </c>
      <c r="H498">
        <v>2730</v>
      </c>
    </row>
    <row r="499" spans="1:8" x14ac:dyDescent="0.25">
      <c r="A499" s="10">
        <v>484</v>
      </c>
      <c r="B499" t="s">
        <v>1283</v>
      </c>
      <c r="C499" s="2" t="s">
        <v>883</v>
      </c>
      <c r="D499" s="1" t="s">
        <v>1295</v>
      </c>
      <c r="E499">
        <v>1475</v>
      </c>
      <c r="F499">
        <v>1480</v>
      </c>
      <c r="G499">
        <v>1500</v>
      </c>
      <c r="H499">
        <v>2730</v>
      </c>
    </row>
    <row r="500" spans="1:8" x14ac:dyDescent="0.25">
      <c r="A500" s="10">
        <v>485</v>
      </c>
      <c r="B500" t="s">
        <v>1284</v>
      </c>
      <c r="C500" s="2" t="s">
        <v>884</v>
      </c>
      <c r="D500" s="1" t="s">
        <v>1295</v>
      </c>
      <c r="E500">
        <v>1475</v>
      </c>
      <c r="F500">
        <v>1480</v>
      </c>
      <c r="G500">
        <v>1500</v>
      </c>
      <c r="H500">
        <v>2730</v>
      </c>
    </row>
    <row r="501" spans="1:8" x14ac:dyDescent="0.25">
      <c r="A501" s="10">
        <v>486</v>
      </c>
      <c r="B501" t="s">
        <v>1285</v>
      </c>
      <c r="C501" s="2" t="s">
        <v>885</v>
      </c>
      <c r="D501" s="1" t="s">
        <v>1295</v>
      </c>
      <c r="E501">
        <v>1475</v>
      </c>
      <c r="F501">
        <v>1480</v>
      </c>
      <c r="G501">
        <v>1500</v>
      </c>
      <c r="H501">
        <v>2730</v>
      </c>
    </row>
    <row r="502" spans="1:8" x14ac:dyDescent="0.25">
      <c r="A502" s="10">
        <v>487</v>
      </c>
      <c r="B502" t="s">
        <v>1286</v>
      </c>
      <c r="C502" s="2" t="s">
        <v>886</v>
      </c>
      <c r="D502" s="1" t="s">
        <v>1295</v>
      </c>
      <c r="E502">
        <v>1475</v>
      </c>
      <c r="F502">
        <v>1480</v>
      </c>
      <c r="G502">
        <v>1500</v>
      </c>
      <c r="H502">
        <v>2730</v>
      </c>
    </row>
    <row r="503" spans="1:8" x14ac:dyDescent="0.25">
      <c r="A503" s="10">
        <v>488</v>
      </c>
      <c r="B503" t="s">
        <v>1287</v>
      </c>
      <c r="C503" s="2" t="s">
        <v>887</v>
      </c>
      <c r="D503" s="1" t="s">
        <v>1295</v>
      </c>
      <c r="E503">
        <v>1475</v>
      </c>
      <c r="F503">
        <v>1480</v>
      </c>
      <c r="G503">
        <v>1500</v>
      </c>
      <c r="H503">
        <v>2730</v>
      </c>
    </row>
    <row r="504" spans="1:8" x14ac:dyDescent="0.25">
      <c r="A504" s="10">
        <v>489</v>
      </c>
      <c r="B504" t="s">
        <v>1288</v>
      </c>
      <c r="C504" s="2" t="s">
        <v>888</v>
      </c>
      <c r="D504" s="1" t="s">
        <v>1295</v>
      </c>
      <c r="E504">
        <v>1475</v>
      </c>
      <c r="F504">
        <v>1480</v>
      </c>
      <c r="G504">
        <v>1500</v>
      </c>
      <c r="H504">
        <v>2730</v>
      </c>
    </row>
    <row r="505" spans="1:8" x14ac:dyDescent="0.25">
      <c r="A505" s="10">
        <v>490</v>
      </c>
      <c r="B505" t="s">
        <v>1289</v>
      </c>
      <c r="C505" s="2" t="s">
        <v>889</v>
      </c>
      <c r="D505" s="1" t="s">
        <v>1295</v>
      </c>
      <c r="E505">
        <v>1475</v>
      </c>
      <c r="F505">
        <v>1480</v>
      </c>
      <c r="G505">
        <v>1500</v>
      </c>
      <c r="H505">
        <v>2730</v>
      </c>
    </row>
    <row r="506" spans="1:8" x14ac:dyDescent="0.25">
      <c r="A506" s="10">
        <v>491</v>
      </c>
      <c r="B506" t="s">
        <v>1290</v>
      </c>
      <c r="C506" s="2" t="s">
        <v>890</v>
      </c>
      <c r="D506" s="1" t="s">
        <v>1295</v>
      </c>
      <c r="E506">
        <v>1475</v>
      </c>
      <c r="F506">
        <v>1480</v>
      </c>
      <c r="G506">
        <v>1500</v>
      </c>
      <c r="H506">
        <v>2730</v>
      </c>
    </row>
    <row r="507" spans="1:8" x14ac:dyDescent="0.25">
      <c r="A507" s="10">
        <v>492</v>
      </c>
      <c r="B507" t="s">
        <v>1291</v>
      </c>
      <c r="C507" s="2" t="s">
        <v>891</v>
      </c>
      <c r="D507" s="1" t="s">
        <v>1295</v>
      </c>
      <c r="E507">
        <v>1475</v>
      </c>
      <c r="F507">
        <v>1480</v>
      </c>
      <c r="G507">
        <v>1500</v>
      </c>
      <c r="H507">
        <v>2730</v>
      </c>
    </row>
    <row r="508" spans="1:8" x14ac:dyDescent="0.25">
      <c r="A508" s="10">
        <v>493</v>
      </c>
      <c r="B508" t="s">
        <v>1292</v>
      </c>
      <c r="C508" s="2" t="s">
        <v>892</v>
      </c>
      <c r="D508" s="1" t="s">
        <v>1295</v>
      </c>
      <c r="E508">
        <v>1475</v>
      </c>
      <c r="F508">
        <v>1480</v>
      </c>
      <c r="G508">
        <v>1500</v>
      </c>
      <c r="H508">
        <v>2730</v>
      </c>
    </row>
    <row r="509" spans="1:8" x14ac:dyDescent="0.25">
      <c r="A509" s="10">
        <v>494</v>
      </c>
      <c r="B509" t="s">
        <v>1293</v>
      </c>
      <c r="C509" s="2" t="s">
        <v>893</v>
      </c>
      <c r="D509" s="1" t="s">
        <v>1295</v>
      </c>
      <c r="E509">
        <v>1475</v>
      </c>
      <c r="F509">
        <v>1480</v>
      </c>
      <c r="G509">
        <v>1500</v>
      </c>
      <c r="H509">
        <v>2730</v>
      </c>
    </row>
    <row r="510" spans="1:8" x14ac:dyDescent="0.25">
      <c r="A510" s="10">
        <v>495</v>
      </c>
      <c r="B510" t="s">
        <v>1294</v>
      </c>
      <c r="C510" s="2" t="s">
        <v>894</v>
      </c>
      <c r="D510" s="1" t="s">
        <v>1295</v>
      </c>
      <c r="E510">
        <v>1475</v>
      </c>
      <c r="F510">
        <v>1480</v>
      </c>
      <c r="G510">
        <v>1500</v>
      </c>
      <c r="H510">
        <v>2730</v>
      </c>
    </row>
    <row r="511" spans="1:8" x14ac:dyDescent="0.25">
      <c r="C511" s="2"/>
    </row>
    <row r="512" spans="1:8" x14ac:dyDescent="0.25">
      <c r="A512" s="10">
        <v>496</v>
      </c>
      <c r="B512" t="s">
        <v>1195</v>
      </c>
      <c r="C512" s="2" t="s">
        <v>895</v>
      </c>
      <c r="D512" s="1" t="s">
        <v>1296</v>
      </c>
      <c r="E512">
        <v>5310</v>
      </c>
      <c r="F512">
        <v>5350</v>
      </c>
      <c r="G512">
        <v>5500</v>
      </c>
      <c r="H512">
        <v>9830</v>
      </c>
    </row>
    <row r="513" spans="1:8" x14ac:dyDescent="0.25">
      <c r="A513" s="10">
        <v>497</v>
      </c>
      <c r="B513" t="s">
        <v>1196</v>
      </c>
      <c r="C513" s="2" t="s">
        <v>896</v>
      </c>
      <c r="D513" s="1" t="s">
        <v>1296</v>
      </c>
      <c r="E513">
        <v>5310</v>
      </c>
      <c r="F513">
        <v>5350</v>
      </c>
      <c r="G513">
        <v>5500</v>
      </c>
      <c r="H513">
        <v>9830</v>
      </c>
    </row>
    <row r="514" spans="1:8" x14ac:dyDescent="0.25">
      <c r="A514" s="10">
        <v>498</v>
      </c>
      <c r="B514" t="s">
        <v>1197</v>
      </c>
      <c r="C514" s="2" t="s">
        <v>897</v>
      </c>
      <c r="D514" s="1" t="s">
        <v>1296</v>
      </c>
      <c r="E514">
        <v>5310</v>
      </c>
      <c r="F514">
        <v>5350</v>
      </c>
      <c r="G514">
        <v>5500</v>
      </c>
      <c r="H514">
        <v>9830</v>
      </c>
    </row>
    <row r="515" spans="1:8" x14ac:dyDescent="0.25">
      <c r="A515" s="10">
        <v>499</v>
      </c>
      <c r="B515" t="s">
        <v>1198</v>
      </c>
      <c r="C515" s="2" t="s">
        <v>898</v>
      </c>
      <c r="D515" s="1" t="s">
        <v>1296</v>
      </c>
      <c r="E515">
        <v>5310</v>
      </c>
      <c r="F515">
        <v>5350</v>
      </c>
      <c r="G515">
        <v>5500</v>
      </c>
      <c r="H515">
        <v>9830</v>
      </c>
    </row>
    <row r="516" spans="1:8" x14ac:dyDescent="0.25">
      <c r="A516" s="10">
        <v>500</v>
      </c>
      <c r="B516" t="s">
        <v>1199</v>
      </c>
      <c r="C516" s="2" t="s">
        <v>899</v>
      </c>
      <c r="D516" s="1" t="s">
        <v>1296</v>
      </c>
      <c r="E516">
        <v>5310</v>
      </c>
      <c r="F516">
        <v>5350</v>
      </c>
      <c r="G516">
        <v>5500</v>
      </c>
      <c r="H516">
        <v>9830</v>
      </c>
    </row>
    <row r="517" spans="1:8" x14ac:dyDescent="0.25">
      <c r="A517" s="10">
        <v>501</v>
      </c>
      <c r="B517" t="s">
        <v>1200</v>
      </c>
      <c r="C517" s="2" t="s">
        <v>900</v>
      </c>
      <c r="D517" s="1" t="s">
        <v>1296</v>
      </c>
      <c r="E517">
        <v>5310</v>
      </c>
      <c r="F517">
        <v>5350</v>
      </c>
      <c r="G517">
        <v>5500</v>
      </c>
      <c r="H517">
        <v>9830</v>
      </c>
    </row>
    <row r="518" spans="1:8" x14ac:dyDescent="0.25">
      <c r="A518" s="10">
        <v>502</v>
      </c>
      <c r="B518" t="s">
        <v>1201</v>
      </c>
      <c r="C518" s="2" t="s">
        <v>901</v>
      </c>
      <c r="D518" s="1" t="s">
        <v>1296</v>
      </c>
      <c r="E518">
        <v>5310</v>
      </c>
      <c r="F518">
        <v>5350</v>
      </c>
      <c r="G518">
        <v>5500</v>
      </c>
      <c r="H518">
        <v>9830</v>
      </c>
    </row>
    <row r="519" spans="1:8" x14ac:dyDescent="0.25">
      <c r="A519" s="10">
        <v>503</v>
      </c>
      <c r="B519" t="s">
        <v>1202</v>
      </c>
      <c r="C519" s="2" t="s">
        <v>902</v>
      </c>
      <c r="D519" s="1" t="s">
        <v>1296</v>
      </c>
      <c r="E519">
        <v>5310</v>
      </c>
      <c r="F519">
        <v>5350</v>
      </c>
      <c r="G519">
        <v>5500</v>
      </c>
      <c r="H519">
        <v>9830</v>
      </c>
    </row>
    <row r="520" spans="1:8" x14ac:dyDescent="0.25">
      <c r="A520" s="10">
        <v>504</v>
      </c>
      <c r="B520" t="s">
        <v>1203</v>
      </c>
      <c r="C520" s="2" t="s">
        <v>903</v>
      </c>
      <c r="D520" s="1" t="s">
        <v>1296</v>
      </c>
      <c r="E520">
        <v>5310</v>
      </c>
      <c r="F520">
        <v>5350</v>
      </c>
      <c r="G520">
        <v>5500</v>
      </c>
      <c r="H520">
        <v>9830</v>
      </c>
    </row>
    <row r="521" spans="1:8" x14ac:dyDescent="0.25">
      <c r="A521" s="10">
        <v>505</v>
      </c>
      <c r="B521" t="s">
        <v>1204</v>
      </c>
      <c r="C521" s="2" t="s">
        <v>904</v>
      </c>
      <c r="D521" s="1" t="s">
        <v>1296</v>
      </c>
      <c r="E521">
        <v>5310</v>
      </c>
      <c r="F521">
        <v>5350</v>
      </c>
      <c r="G521">
        <v>5500</v>
      </c>
      <c r="H521">
        <v>9830</v>
      </c>
    </row>
    <row r="522" spans="1:8" x14ac:dyDescent="0.25">
      <c r="A522" s="10">
        <v>506</v>
      </c>
      <c r="B522" t="s">
        <v>1205</v>
      </c>
      <c r="C522" s="2" t="s">
        <v>905</v>
      </c>
      <c r="D522" s="1" t="s">
        <v>1296</v>
      </c>
      <c r="E522">
        <v>5310</v>
      </c>
      <c r="F522">
        <v>5350</v>
      </c>
      <c r="G522">
        <v>5500</v>
      </c>
      <c r="H522">
        <v>9830</v>
      </c>
    </row>
    <row r="523" spans="1:8" x14ac:dyDescent="0.25">
      <c r="A523" s="10">
        <v>507</v>
      </c>
      <c r="B523" t="s">
        <v>1206</v>
      </c>
      <c r="C523" s="2" t="s">
        <v>906</v>
      </c>
      <c r="D523" s="1" t="s">
        <v>1296</v>
      </c>
      <c r="E523">
        <v>5310</v>
      </c>
      <c r="F523">
        <v>5350</v>
      </c>
      <c r="G523">
        <v>5500</v>
      </c>
      <c r="H523">
        <v>9830</v>
      </c>
    </row>
    <row r="524" spans="1:8" x14ac:dyDescent="0.25">
      <c r="A524" s="10">
        <v>508</v>
      </c>
      <c r="B524" t="s">
        <v>1207</v>
      </c>
      <c r="C524" s="2" t="s">
        <v>907</v>
      </c>
      <c r="D524" s="1" t="s">
        <v>1296</v>
      </c>
      <c r="E524">
        <v>5310</v>
      </c>
      <c r="F524">
        <v>5350</v>
      </c>
      <c r="G524">
        <v>5500</v>
      </c>
      <c r="H524">
        <v>9830</v>
      </c>
    </row>
    <row r="525" spans="1:8" x14ac:dyDescent="0.25">
      <c r="A525" s="10">
        <v>509</v>
      </c>
      <c r="B525" t="s">
        <v>1208</v>
      </c>
      <c r="C525" s="2" t="s">
        <v>908</v>
      </c>
      <c r="D525" s="1" t="s">
        <v>1296</v>
      </c>
      <c r="E525">
        <v>5310</v>
      </c>
      <c r="F525">
        <v>5350</v>
      </c>
      <c r="G525">
        <v>5500</v>
      </c>
      <c r="H525">
        <v>9830</v>
      </c>
    </row>
    <row r="526" spans="1:8" x14ac:dyDescent="0.25">
      <c r="A526" s="10">
        <v>510</v>
      </c>
      <c r="B526" t="s">
        <v>1209</v>
      </c>
      <c r="C526" s="2" t="s">
        <v>909</v>
      </c>
      <c r="D526" s="1" t="s">
        <v>1296</v>
      </c>
      <c r="E526">
        <v>5310</v>
      </c>
      <c r="F526">
        <v>5350</v>
      </c>
      <c r="G526">
        <v>5500</v>
      </c>
      <c r="H526">
        <v>9830</v>
      </c>
    </row>
    <row r="527" spans="1:8" x14ac:dyDescent="0.25">
      <c r="A527" s="10">
        <v>511</v>
      </c>
      <c r="B527" t="s">
        <v>1210</v>
      </c>
      <c r="C527" s="2" t="s">
        <v>910</v>
      </c>
      <c r="D527" s="1" t="s">
        <v>1296</v>
      </c>
      <c r="E527">
        <v>5310</v>
      </c>
      <c r="F527">
        <v>5350</v>
      </c>
      <c r="G527">
        <v>5500</v>
      </c>
      <c r="H527">
        <v>9830</v>
      </c>
    </row>
    <row r="528" spans="1:8" x14ac:dyDescent="0.25">
      <c r="A528" s="10">
        <v>512</v>
      </c>
      <c r="B528" t="s">
        <v>1211</v>
      </c>
      <c r="C528" s="2" t="s">
        <v>911</v>
      </c>
      <c r="D528" s="1" t="s">
        <v>1296</v>
      </c>
      <c r="E528">
        <v>5310</v>
      </c>
      <c r="F528">
        <v>5350</v>
      </c>
      <c r="G528">
        <v>5500</v>
      </c>
      <c r="H528">
        <v>9830</v>
      </c>
    </row>
    <row r="529" spans="1:8" x14ac:dyDescent="0.25">
      <c r="A529" s="10">
        <v>513</v>
      </c>
      <c r="B529" t="s">
        <v>1212</v>
      </c>
      <c r="C529" s="2" t="s">
        <v>912</v>
      </c>
      <c r="D529" s="1" t="s">
        <v>1296</v>
      </c>
      <c r="E529">
        <v>5310</v>
      </c>
      <c r="F529">
        <v>5350</v>
      </c>
      <c r="G529">
        <v>5500</v>
      </c>
      <c r="H529">
        <v>9830</v>
      </c>
    </row>
    <row r="530" spans="1:8" x14ac:dyDescent="0.25">
      <c r="A530" s="10">
        <v>514</v>
      </c>
      <c r="B530" t="s">
        <v>1213</v>
      </c>
      <c r="C530" s="2" t="s">
        <v>913</v>
      </c>
      <c r="D530" s="1" t="s">
        <v>1296</v>
      </c>
      <c r="E530">
        <v>5310</v>
      </c>
      <c r="F530">
        <v>5350</v>
      </c>
      <c r="G530">
        <v>5500</v>
      </c>
      <c r="H530">
        <v>9830</v>
      </c>
    </row>
    <row r="531" spans="1:8" x14ac:dyDescent="0.25">
      <c r="A531" s="10">
        <v>515</v>
      </c>
      <c r="B531" t="s">
        <v>1214</v>
      </c>
      <c r="C531" s="2" t="s">
        <v>914</v>
      </c>
      <c r="D531" s="1" t="s">
        <v>1296</v>
      </c>
      <c r="E531">
        <v>5310</v>
      </c>
      <c r="F531">
        <v>5350</v>
      </c>
      <c r="G531">
        <v>5500</v>
      </c>
      <c r="H531">
        <v>9830</v>
      </c>
    </row>
    <row r="532" spans="1:8" x14ac:dyDescent="0.25">
      <c r="A532" s="10">
        <v>516</v>
      </c>
      <c r="B532" t="s">
        <v>1215</v>
      </c>
      <c r="C532" s="2" t="s">
        <v>915</v>
      </c>
      <c r="D532" s="1" t="s">
        <v>1296</v>
      </c>
      <c r="E532">
        <v>5310</v>
      </c>
      <c r="F532">
        <v>5350</v>
      </c>
      <c r="G532">
        <v>5500</v>
      </c>
      <c r="H532">
        <v>9830</v>
      </c>
    </row>
    <row r="533" spans="1:8" x14ac:dyDescent="0.25">
      <c r="A533" s="10">
        <v>517</v>
      </c>
      <c r="B533" t="s">
        <v>1216</v>
      </c>
      <c r="C533" s="2" t="s">
        <v>916</v>
      </c>
      <c r="D533" s="1" t="s">
        <v>1296</v>
      </c>
      <c r="E533">
        <v>5310</v>
      </c>
      <c r="F533">
        <v>5350</v>
      </c>
      <c r="G533">
        <v>5500</v>
      </c>
      <c r="H533">
        <v>9830</v>
      </c>
    </row>
    <row r="534" spans="1:8" x14ac:dyDescent="0.25">
      <c r="A534" s="10">
        <v>518</v>
      </c>
      <c r="B534" t="s">
        <v>1217</v>
      </c>
      <c r="C534" s="2" t="s">
        <v>917</v>
      </c>
      <c r="D534" s="1" t="s">
        <v>1296</v>
      </c>
      <c r="E534">
        <v>5310</v>
      </c>
      <c r="F534">
        <v>5350</v>
      </c>
      <c r="G534">
        <v>5500</v>
      </c>
      <c r="H534">
        <v>9830</v>
      </c>
    </row>
    <row r="535" spans="1:8" x14ac:dyDescent="0.25">
      <c r="A535" s="10">
        <v>519</v>
      </c>
      <c r="B535" t="s">
        <v>1218</v>
      </c>
      <c r="C535" s="2" t="s">
        <v>918</v>
      </c>
      <c r="D535" s="1" t="s">
        <v>1296</v>
      </c>
      <c r="E535">
        <v>5310</v>
      </c>
      <c r="F535">
        <v>5350</v>
      </c>
      <c r="G535">
        <v>5500</v>
      </c>
      <c r="H535">
        <v>9830</v>
      </c>
    </row>
    <row r="536" spans="1:8" x14ac:dyDescent="0.25">
      <c r="A536" s="10">
        <v>520</v>
      </c>
      <c r="B536" t="s">
        <v>1219</v>
      </c>
      <c r="C536" s="2" t="s">
        <v>919</v>
      </c>
      <c r="D536" s="1" t="s">
        <v>1296</v>
      </c>
      <c r="E536">
        <v>5310</v>
      </c>
      <c r="F536">
        <v>5350</v>
      </c>
      <c r="G536">
        <v>5500</v>
      </c>
      <c r="H536">
        <v>9830</v>
      </c>
    </row>
    <row r="537" spans="1:8" s="2" customFormat="1" x14ac:dyDescent="0.25">
      <c r="A537" s="10">
        <v>521</v>
      </c>
      <c r="B537" t="s">
        <v>1220</v>
      </c>
      <c r="C537" s="2" t="s">
        <v>920</v>
      </c>
      <c r="D537" s="1" t="s">
        <v>1296</v>
      </c>
      <c r="E537">
        <v>5310</v>
      </c>
      <c r="F537">
        <v>5350</v>
      </c>
      <c r="G537">
        <v>5500</v>
      </c>
      <c r="H537">
        <v>9830</v>
      </c>
    </row>
    <row r="538" spans="1:8" x14ac:dyDescent="0.25">
      <c r="A538" s="10">
        <v>522</v>
      </c>
      <c r="B538" t="s">
        <v>1221</v>
      </c>
      <c r="C538" s="2" t="s">
        <v>921</v>
      </c>
      <c r="D538" s="1" t="s">
        <v>1296</v>
      </c>
      <c r="E538">
        <v>5310</v>
      </c>
      <c r="F538">
        <v>5350</v>
      </c>
      <c r="G538">
        <v>5500</v>
      </c>
      <c r="H538">
        <v>9830</v>
      </c>
    </row>
    <row r="539" spans="1:8" x14ac:dyDescent="0.25">
      <c r="A539" s="10">
        <v>523</v>
      </c>
      <c r="B539" t="s">
        <v>1222</v>
      </c>
      <c r="C539" s="2" t="s">
        <v>922</v>
      </c>
      <c r="D539" s="1" t="s">
        <v>1296</v>
      </c>
      <c r="E539">
        <v>5310</v>
      </c>
      <c r="F539">
        <v>5350</v>
      </c>
      <c r="G539">
        <v>5500</v>
      </c>
      <c r="H539">
        <v>9830</v>
      </c>
    </row>
    <row r="540" spans="1:8" x14ac:dyDescent="0.25">
      <c r="A540" s="10">
        <v>524</v>
      </c>
      <c r="B540" t="s">
        <v>1223</v>
      </c>
      <c r="C540" s="2" t="s">
        <v>923</v>
      </c>
      <c r="D540" s="1" t="s">
        <v>1296</v>
      </c>
      <c r="E540">
        <v>5310</v>
      </c>
      <c r="F540">
        <v>5350</v>
      </c>
      <c r="G540">
        <v>5500</v>
      </c>
      <c r="H540">
        <v>9830</v>
      </c>
    </row>
    <row r="541" spans="1:8" x14ac:dyDescent="0.25">
      <c r="A541" s="10">
        <v>525</v>
      </c>
      <c r="B541" t="s">
        <v>1224</v>
      </c>
      <c r="C541" s="2" t="s">
        <v>924</v>
      </c>
      <c r="D541" s="1" t="s">
        <v>1296</v>
      </c>
      <c r="E541">
        <v>5310</v>
      </c>
      <c r="F541">
        <v>5350</v>
      </c>
      <c r="G541">
        <v>5500</v>
      </c>
      <c r="H541">
        <v>9830</v>
      </c>
    </row>
    <row r="542" spans="1:8" x14ac:dyDescent="0.25">
      <c r="A542" s="10">
        <v>526</v>
      </c>
      <c r="B542" t="s">
        <v>1225</v>
      </c>
      <c r="C542" s="2" t="s">
        <v>925</v>
      </c>
      <c r="D542" s="1" t="s">
        <v>1296</v>
      </c>
      <c r="E542">
        <v>5310</v>
      </c>
      <c r="F542">
        <v>5350</v>
      </c>
      <c r="G542">
        <v>5500</v>
      </c>
      <c r="H542">
        <v>9830</v>
      </c>
    </row>
    <row r="543" spans="1:8" x14ac:dyDescent="0.25">
      <c r="A543" s="10">
        <v>527</v>
      </c>
      <c r="B543" t="s">
        <v>1226</v>
      </c>
      <c r="C543" s="2" t="s">
        <v>926</v>
      </c>
      <c r="D543" s="1" t="s">
        <v>1296</v>
      </c>
      <c r="E543">
        <v>5310</v>
      </c>
      <c r="F543">
        <v>5350</v>
      </c>
      <c r="G543">
        <v>5500</v>
      </c>
      <c r="H543">
        <v>9830</v>
      </c>
    </row>
    <row r="544" spans="1:8" x14ac:dyDescent="0.25">
      <c r="A544" s="10">
        <v>528</v>
      </c>
      <c r="B544" t="s">
        <v>1227</v>
      </c>
      <c r="C544" s="2" t="s">
        <v>927</v>
      </c>
      <c r="D544" s="1" t="s">
        <v>1296</v>
      </c>
      <c r="E544">
        <v>5310</v>
      </c>
      <c r="F544">
        <v>5350</v>
      </c>
      <c r="G544">
        <v>5500</v>
      </c>
      <c r="H544">
        <v>9830</v>
      </c>
    </row>
    <row r="545" spans="1:8" x14ac:dyDescent="0.25">
      <c r="A545" s="10">
        <v>529</v>
      </c>
      <c r="B545" t="s">
        <v>1228</v>
      </c>
      <c r="C545" s="2" t="s">
        <v>928</v>
      </c>
      <c r="D545" s="1" t="s">
        <v>1296</v>
      </c>
      <c r="E545">
        <v>5310</v>
      </c>
      <c r="F545">
        <v>5350</v>
      </c>
      <c r="G545">
        <v>5500</v>
      </c>
      <c r="H545">
        <v>9830</v>
      </c>
    </row>
    <row r="546" spans="1:8" x14ac:dyDescent="0.25">
      <c r="A546" s="10">
        <v>530</v>
      </c>
      <c r="B546" t="s">
        <v>1229</v>
      </c>
      <c r="C546" s="2" t="s">
        <v>929</v>
      </c>
      <c r="D546" s="1" t="s">
        <v>1296</v>
      </c>
      <c r="E546">
        <v>5310</v>
      </c>
      <c r="F546">
        <v>5350</v>
      </c>
      <c r="G546">
        <v>5500</v>
      </c>
      <c r="H546">
        <v>9830</v>
      </c>
    </row>
    <row r="547" spans="1:8" x14ac:dyDescent="0.25">
      <c r="A547" s="10">
        <v>531</v>
      </c>
      <c r="B547" t="s">
        <v>1230</v>
      </c>
      <c r="C547" s="2" t="s">
        <v>930</v>
      </c>
      <c r="D547" s="1" t="s">
        <v>1296</v>
      </c>
      <c r="E547">
        <v>5310</v>
      </c>
      <c r="F547">
        <v>5350</v>
      </c>
      <c r="G547">
        <v>5500</v>
      </c>
      <c r="H547">
        <v>9830</v>
      </c>
    </row>
    <row r="548" spans="1:8" x14ac:dyDescent="0.25">
      <c r="A548" s="10">
        <v>532</v>
      </c>
      <c r="B548" t="s">
        <v>1231</v>
      </c>
      <c r="C548" s="2" t="s">
        <v>931</v>
      </c>
      <c r="D548" s="1" t="s">
        <v>1296</v>
      </c>
      <c r="E548">
        <v>5310</v>
      </c>
      <c r="F548">
        <v>5350</v>
      </c>
      <c r="G548">
        <v>5500</v>
      </c>
      <c r="H548">
        <v>9830</v>
      </c>
    </row>
    <row r="549" spans="1:8" x14ac:dyDescent="0.25">
      <c r="A549" s="10">
        <v>533</v>
      </c>
      <c r="B549" t="s">
        <v>1232</v>
      </c>
      <c r="C549" s="2" t="s">
        <v>932</v>
      </c>
      <c r="D549" s="1" t="s">
        <v>1296</v>
      </c>
      <c r="E549">
        <v>5310</v>
      </c>
      <c r="F549">
        <v>5350</v>
      </c>
      <c r="G549">
        <v>5500</v>
      </c>
      <c r="H549">
        <v>9830</v>
      </c>
    </row>
    <row r="550" spans="1:8" x14ac:dyDescent="0.25">
      <c r="A550" s="10">
        <v>534</v>
      </c>
      <c r="B550" t="s">
        <v>1233</v>
      </c>
      <c r="C550" s="2" t="s">
        <v>933</v>
      </c>
      <c r="D550" s="1" t="s">
        <v>1296</v>
      </c>
      <c r="E550">
        <v>5310</v>
      </c>
      <c r="F550">
        <v>5350</v>
      </c>
      <c r="G550">
        <v>5500</v>
      </c>
      <c r="H550">
        <v>9830</v>
      </c>
    </row>
    <row r="551" spans="1:8" x14ac:dyDescent="0.25">
      <c r="A551" s="10">
        <v>535</v>
      </c>
      <c r="B551" t="s">
        <v>1234</v>
      </c>
      <c r="C551" s="2" t="s">
        <v>934</v>
      </c>
      <c r="D551" s="1" t="s">
        <v>1296</v>
      </c>
      <c r="E551">
        <v>5310</v>
      </c>
      <c r="F551">
        <v>5350</v>
      </c>
      <c r="G551">
        <v>5500</v>
      </c>
      <c r="H551">
        <v>9830</v>
      </c>
    </row>
    <row r="552" spans="1:8" x14ac:dyDescent="0.25">
      <c r="A552" s="10">
        <v>536</v>
      </c>
      <c r="B552" t="s">
        <v>1235</v>
      </c>
      <c r="C552" s="2" t="s">
        <v>935</v>
      </c>
      <c r="D552" s="1" t="s">
        <v>1296</v>
      </c>
      <c r="E552">
        <v>5310</v>
      </c>
      <c r="F552">
        <v>5350</v>
      </c>
      <c r="G552">
        <v>5500</v>
      </c>
      <c r="H552">
        <v>9830</v>
      </c>
    </row>
    <row r="553" spans="1:8" x14ac:dyDescent="0.25">
      <c r="A553" s="10">
        <v>537</v>
      </c>
      <c r="B553" t="s">
        <v>1236</v>
      </c>
      <c r="C553" s="2" t="s">
        <v>936</v>
      </c>
      <c r="D553" s="1" t="s">
        <v>1296</v>
      </c>
      <c r="E553">
        <v>5310</v>
      </c>
      <c r="F553">
        <v>5350</v>
      </c>
      <c r="G553">
        <v>5500</v>
      </c>
      <c r="H553">
        <v>9830</v>
      </c>
    </row>
    <row r="554" spans="1:8" x14ac:dyDescent="0.25">
      <c r="A554" s="10">
        <v>538</v>
      </c>
      <c r="B554" t="s">
        <v>1237</v>
      </c>
      <c r="C554" s="2" t="s">
        <v>937</v>
      </c>
      <c r="D554" s="1" t="s">
        <v>1296</v>
      </c>
      <c r="E554">
        <v>5310</v>
      </c>
      <c r="F554">
        <v>5350</v>
      </c>
      <c r="G554">
        <v>5500</v>
      </c>
      <c r="H554">
        <v>9830</v>
      </c>
    </row>
    <row r="555" spans="1:8" x14ac:dyDescent="0.25">
      <c r="A555" s="10">
        <v>539</v>
      </c>
      <c r="B555" t="s">
        <v>1238</v>
      </c>
      <c r="C555" s="2" t="s">
        <v>938</v>
      </c>
      <c r="D555" s="1" t="s">
        <v>1296</v>
      </c>
      <c r="E555">
        <v>5310</v>
      </c>
      <c r="F555">
        <v>5350</v>
      </c>
      <c r="G555">
        <v>5500</v>
      </c>
      <c r="H555">
        <v>9830</v>
      </c>
    </row>
    <row r="556" spans="1:8" x14ac:dyDescent="0.25">
      <c r="A556" s="10">
        <v>540</v>
      </c>
      <c r="B556" t="s">
        <v>1239</v>
      </c>
      <c r="C556" s="2" t="s">
        <v>939</v>
      </c>
      <c r="D556" s="1" t="s">
        <v>1296</v>
      </c>
      <c r="E556">
        <v>5310</v>
      </c>
      <c r="F556">
        <v>5350</v>
      </c>
      <c r="G556">
        <v>5500</v>
      </c>
      <c r="H556">
        <v>9830</v>
      </c>
    </row>
    <row r="557" spans="1:8" x14ac:dyDescent="0.25">
      <c r="A557" s="10">
        <v>541</v>
      </c>
      <c r="B557" t="s">
        <v>1240</v>
      </c>
      <c r="C557" s="2" t="s">
        <v>940</v>
      </c>
      <c r="D557" s="1" t="s">
        <v>1296</v>
      </c>
      <c r="E557">
        <v>5310</v>
      </c>
      <c r="F557">
        <v>5350</v>
      </c>
      <c r="G557">
        <v>5500</v>
      </c>
      <c r="H557">
        <v>9830</v>
      </c>
    </row>
    <row r="558" spans="1:8" x14ac:dyDescent="0.25">
      <c r="A558" s="10">
        <v>542</v>
      </c>
      <c r="B558" t="s">
        <v>1241</v>
      </c>
      <c r="C558" s="2" t="s">
        <v>941</v>
      </c>
      <c r="D558" s="1" t="s">
        <v>1296</v>
      </c>
      <c r="E558">
        <v>5310</v>
      </c>
      <c r="F558">
        <v>5350</v>
      </c>
      <c r="G558">
        <v>5500</v>
      </c>
      <c r="H558">
        <v>9830</v>
      </c>
    </row>
    <row r="559" spans="1:8" x14ac:dyDescent="0.25">
      <c r="A559" s="10">
        <v>543</v>
      </c>
      <c r="B559" t="s">
        <v>1242</v>
      </c>
      <c r="C559" s="2" t="s">
        <v>942</v>
      </c>
      <c r="D559" s="1" t="s">
        <v>1296</v>
      </c>
      <c r="E559">
        <v>5310</v>
      </c>
      <c r="F559">
        <v>5350</v>
      </c>
      <c r="G559">
        <v>5500</v>
      </c>
      <c r="H559">
        <v>9830</v>
      </c>
    </row>
    <row r="560" spans="1:8" x14ac:dyDescent="0.25">
      <c r="A560" s="10">
        <v>544</v>
      </c>
      <c r="B560" t="s">
        <v>1243</v>
      </c>
      <c r="C560" s="2" t="s">
        <v>943</v>
      </c>
      <c r="D560" s="1" t="s">
        <v>1296</v>
      </c>
      <c r="E560">
        <v>5310</v>
      </c>
      <c r="F560">
        <v>5350</v>
      </c>
      <c r="G560">
        <v>5500</v>
      </c>
      <c r="H560">
        <v>9830</v>
      </c>
    </row>
    <row r="561" spans="1:8" x14ac:dyDescent="0.25">
      <c r="A561" s="10">
        <v>545</v>
      </c>
      <c r="B561" t="s">
        <v>1244</v>
      </c>
      <c r="C561" s="2" t="s">
        <v>944</v>
      </c>
      <c r="D561" s="1" t="s">
        <v>1296</v>
      </c>
      <c r="E561">
        <v>5310</v>
      </c>
      <c r="F561">
        <v>5350</v>
      </c>
      <c r="G561">
        <v>5500</v>
      </c>
      <c r="H561">
        <v>9830</v>
      </c>
    </row>
    <row r="562" spans="1:8" x14ac:dyDescent="0.25">
      <c r="A562" s="10">
        <v>546</v>
      </c>
      <c r="B562" t="s">
        <v>1245</v>
      </c>
      <c r="C562" s="2" t="s">
        <v>945</v>
      </c>
      <c r="D562" s="1" t="s">
        <v>1296</v>
      </c>
      <c r="E562">
        <v>5310</v>
      </c>
      <c r="F562">
        <v>5350</v>
      </c>
      <c r="G562">
        <v>5500</v>
      </c>
      <c r="H562">
        <v>9830</v>
      </c>
    </row>
    <row r="563" spans="1:8" x14ac:dyDescent="0.25">
      <c r="A563" s="10">
        <v>547</v>
      </c>
      <c r="B563" t="s">
        <v>1246</v>
      </c>
      <c r="C563" s="2" t="s">
        <v>946</v>
      </c>
      <c r="D563" s="1" t="s">
        <v>1296</v>
      </c>
      <c r="E563">
        <v>5310</v>
      </c>
      <c r="F563">
        <v>5350</v>
      </c>
      <c r="G563">
        <v>5500</v>
      </c>
      <c r="H563">
        <v>9830</v>
      </c>
    </row>
    <row r="564" spans="1:8" x14ac:dyDescent="0.25">
      <c r="A564" s="10">
        <v>548</v>
      </c>
      <c r="B564" t="s">
        <v>1247</v>
      </c>
      <c r="C564" s="2" t="s">
        <v>947</v>
      </c>
      <c r="D564" s="1" t="s">
        <v>1296</v>
      </c>
      <c r="E564">
        <v>5310</v>
      </c>
      <c r="F564">
        <v>5350</v>
      </c>
      <c r="G564">
        <v>5500</v>
      </c>
      <c r="H564">
        <v>9830</v>
      </c>
    </row>
    <row r="565" spans="1:8" x14ac:dyDescent="0.25">
      <c r="A565" s="10">
        <v>549</v>
      </c>
      <c r="B565" t="s">
        <v>1248</v>
      </c>
      <c r="C565" s="2" t="s">
        <v>948</v>
      </c>
      <c r="D565" s="1" t="s">
        <v>1296</v>
      </c>
      <c r="E565">
        <v>5310</v>
      </c>
      <c r="F565">
        <v>5350</v>
      </c>
      <c r="G565">
        <v>5500</v>
      </c>
      <c r="H565">
        <v>9830</v>
      </c>
    </row>
    <row r="566" spans="1:8" x14ac:dyDescent="0.25">
      <c r="A566" s="10">
        <v>550</v>
      </c>
      <c r="B566" t="s">
        <v>1249</v>
      </c>
      <c r="C566" s="2" t="s">
        <v>949</v>
      </c>
      <c r="D566" s="1" t="s">
        <v>1296</v>
      </c>
      <c r="E566">
        <v>5310</v>
      </c>
      <c r="F566">
        <v>5350</v>
      </c>
      <c r="G566">
        <v>5500</v>
      </c>
      <c r="H566">
        <v>9830</v>
      </c>
    </row>
    <row r="567" spans="1:8" x14ac:dyDescent="0.25">
      <c r="A567" s="10">
        <v>551</v>
      </c>
      <c r="B567" t="s">
        <v>1250</v>
      </c>
      <c r="C567" s="2" t="s">
        <v>950</v>
      </c>
      <c r="D567" s="1" t="s">
        <v>1296</v>
      </c>
      <c r="E567">
        <v>5310</v>
      </c>
      <c r="F567">
        <v>5350</v>
      </c>
      <c r="G567">
        <v>5500</v>
      </c>
      <c r="H567">
        <v>9830</v>
      </c>
    </row>
    <row r="568" spans="1:8" x14ac:dyDescent="0.25">
      <c r="A568" s="10">
        <v>552</v>
      </c>
      <c r="B568" t="s">
        <v>1251</v>
      </c>
      <c r="C568" s="2" t="s">
        <v>951</v>
      </c>
      <c r="D568" s="1" t="s">
        <v>1296</v>
      </c>
      <c r="E568">
        <v>5310</v>
      </c>
      <c r="F568">
        <v>5350</v>
      </c>
      <c r="G568">
        <v>5500</v>
      </c>
      <c r="H568">
        <v>9830</v>
      </c>
    </row>
    <row r="569" spans="1:8" x14ac:dyDescent="0.25">
      <c r="A569" s="10">
        <v>553</v>
      </c>
      <c r="B569" t="s">
        <v>1252</v>
      </c>
      <c r="C569" s="2" t="s">
        <v>952</v>
      </c>
      <c r="D569" s="1" t="s">
        <v>1296</v>
      </c>
      <c r="E569">
        <v>5310</v>
      </c>
      <c r="F569">
        <v>5350</v>
      </c>
      <c r="G569">
        <v>5500</v>
      </c>
      <c r="H569">
        <v>9830</v>
      </c>
    </row>
    <row r="570" spans="1:8" x14ac:dyDescent="0.25">
      <c r="A570" s="10">
        <v>554</v>
      </c>
      <c r="B570" t="s">
        <v>1253</v>
      </c>
      <c r="C570" s="2" t="s">
        <v>953</v>
      </c>
      <c r="D570" s="1" t="s">
        <v>1296</v>
      </c>
      <c r="E570">
        <v>5310</v>
      </c>
      <c r="F570">
        <v>5350</v>
      </c>
      <c r="G570">
        <v>5500</v>
      </c>
      <c r="H570">
        <v>9830</v>
      </c>
    </row>
    <row r="571" spans="1:8" x14ac:dyDescent="0.25">
      <c r="A571" s="10">
        <v>555</v>
      </c>
      <c r="B571" t="s">
        <v>1254</v>
      </c>
      <c r="C571" s="2" t="s">
        <v>954</v>
      </c>
      <c r="D571" s="1" t="s">
        <v>1296</v>
      </c>
      <c r="E571">
        <v>5310</v>
      </c>
      <c r="F571">
        <v>5350</v>
      </c>
      <c r="G571">
        <v>5500</v>
      </c>
      <c r="H571">
        <v>9830</v>
      </c>
    </row>
    <row r="572" spans="1:8" x14ac:dyDescent="0.25">
      <c r="A572" s="10">
        <v>556</v>
      </c>
      <c r="B572" t="s">
        <v>1255</v>
      </c>
      <c r="C572" s="2" t="s">
        <v>955</v>
      </c>
      <c r="D572" s="1" t="s">
        <v>1296</v>
      </c>
      <c r="E572">
        <v>5310</v>
      </c>
      <c r="F572">
        <v>5350</v>
      </c>
      <c r="G572">
        <v>5500</v>
      </c>
      <c r="H572">
        <v>9830</v>
      </c>
    </row>
    <row r="573" spans="1:8" x14ac:dyDescent="0.25">
      <c r="A573" s="10">
        <v>557</v>
      </c>
      <c r="B573" t="s">
        <v>1256</v>
      </c>
      <c r="C573" s="2" t="s">
        <v>956</v>
      </c>
      <c r="D573" s="1" t="s">
        <v>1296</v>
      </c>
      <c r="E573">
        <v>5310</v>
      </c>
      <c r="F573">
        <v>5350</v>
      </c>
      <c r="G573">
        <v>5500</v>
      </c>
      <c r="H573">
        <v>9830</v>
      </c>
    </row>
    <row r="574" spans="1:8" x14ac:dyDescent="0.25">
      <c r="A574" s="10">
        <v>558</v>
      </c>
      <c r="B574" t="s">
        <v>1257</v>
      </c>
      <c r="C574" s="2" t="s">
        <v>957</v>
      </c>
      <c r="D574" s="1" t="s">
        <v>1296</v>
      </c>
      <c r="E574">
        <v>5310</v>
      </c>
      <c r="F574">
        <v>5350</v>
      </c>
      <c r="G574">
        <v>5500</v>
      </c>
      <c r="H574">
        <v>9830</v>
      </c>
    </row>
    <row r="575" spans="1:8" x14ac:dyDescent="0.25">
      <c r="A575" s="10">
        <v>559</v>
      </c>
      <c r="B575" t="s">
        <v>1258</v>
      </c>
      <c r="C575" s="2" t="s">
        <v>958</v>
      </c>
      <c r="D575" s="1" t="s">
        <v>1296</v>
      </c>
      <c r="E575">
        <v>5310</v>
      </c>
      <c r="F575">
        <v>5350</v>
      </c>
      <c r="G575">
        <v>5500</v>
      </c>
      <c r="H575">
        <v>9830</v>
      </c>
    </row>
    <row r="576" spans="1:8" x14ac:dyDescent="0.25">
      <c r="A576" s="10">
        <v>560</v>
      </c>
      <c r="B576" t="s">
        <v>1259</v>
      </c>
      <c r="C576" s="2" t="s">
        <v>959</v>
      </c>
      <c r="D576" s="1" t="s">
        <v>1296</v>
      </c>
      <c r="E576">
        <v>5310</v>
      </c>
      <c r="F576">
        <v>5350</v>
      </c>
      <c r="G576">
        <v>5500</v>
      </c>
      <c r="H576">
        <v>9830</v>
      </c>
    </row>
    <row r="577" spans="1:8" x14ac:dyDescent="0.25">
      <c r="A577" s="10">
        <v>561</v>
      </c>
      <c r="B577" t="s">
        <v>1260</v>
      </c>
      <c r="C577" s="2" t="s">
        <v>960</v>
      </c>
      <c r="D577" s="1" t="s">
        <v>1296</v>
      </c>
      <c r="E577">
        <v>5310</v>
      </c>
      <c r="F577">
        <v>5350</v>
      </c>
      <c r="G577">
        <v>5500</v>
      </c>
      <c r="H577">
        <v>9830</v>
      </c>
    </row>
    <row r="578" spans="1:8" x14ac:dyDescent="0.25">
      <c r="A578" s="10">
        <v>562</v>
      </c>
      <c r="B578" t="s">
        <v>1261</v>
      </c>
      <c r="C578" s="2" t="s">
        <v>961</v>
      </c>
      <c r="D578" s="1" t="s">
        <v>1296</v>
      </c>
      <c r="E578">
        <v>5310</v>
      </c>
      <c r="F578">
        <v>5350</v>
      </c>
      <c r="G578">
        <v>5500</v>
      </c>
      <c r="H578">
        <v>9830</v>
      </c>
    </row>
    <row r="579" spans="1:8" x14ac:dyDescent="0.25">
      <c r="A579" s="10">
        <v>563</v>
      </c>
      <c r="B579" t="s">
        <v>1262</v>
      </c>
      <c r="C579" s="2" t="s">
        <v>962</v>
      </c>
      <c r="D579" s="1" t="s">
        <v>1296</v>
      </c>
      <c r="E579">
        <v>5310</v>
      </c>
      <c r="F579">
        <v>5350</v>
      </c>
      <c r="G579">
        <v>5500</v>
      </c>
      <c r="H579">
        <v>9830</v>
      </c>
    </row>
    <row r="580" spans="1:8" x14ac:dyDescent="0.25">
      <c r="A580" s="10">
        <v>564</v>
      </c>
      <c r="B580" t="s">
        <v>1263</v>
      </c>
      <c r="C580" s="2" t="s">
        <v>963</v>
      </c>
      <c r="D580" s="1" t="s">
        <v>1296</v>
      </c>
      <c r="E580">
        <v>5310</v>
      </c>
      <c r="F580">
        <v>5350</v>
      </c>
      <c r="G580">
        <v>5500</v>
      </c>
      <c r="H580">
        <v>9830</v>
      </c>
    </row>
    <row r="581" spans="1:8" x14ac:dyDescent="0.25">
      <c r="A581" s="10">
        <v>565</v>
      </c>
      <c r="B581" t="s">
        <v>1264</v>
      </c>
      <c r="C581" s="2" t="s">
        <v>964</v>
      </c>
      <c r="D581" s="1" t="s">
        <v>1296</v>
      </c>
      <c r="E581">
        <v>5310</v>
      </c>
      <c r="F581">
        <v>5350</v>
      </c>
      <c r="G581">
        <v>5500</v>
      </c>
      <c r="H581">
        <v>9830</v>
      </c>
    </row>
    <row r="582" spans="1:8" x14ac:dyDescent="0.25">
      <c r="A582" s="10">
        <v>566</v>
      </c>
      <c r="B582" t="s">
        <v>1265</v>
      </c>
      <c r="C582" s="2" t="s">
        <v>965</v>
      </c>
      <c r="D582" s="1" t="s">
        <v>1296</v>
      </c>
      <c r="E582">
        <v>5310</v>
      </c>
      <c r="F582">
        <v>5350</v>
      </c>
      <c r="G582">
        <v>5500</v>
      </c>
      <c r="H582">
        <v>9830</v>
      </c>
    </row>
    <row r="583" spans="1:8" x14ac:dyDescent="0.25">
      <c r="A583" s="10">
        <v>567</v>
      </c>
      <c r="B583" t="s">
        <v>1266</v>
      </c>
      <c r="C583" s="2" t="s">
        <v>966</v>
      </c>
      <c r="D583" s="1" t="s">
        <v>1296</v>
      </c>
      <c r="E583">
        <v>5310</v>
      </c>
      <c r="F583">
        <v>5350</v>
      </c>
      <c r="G583">
        <v>5500</v>
      </c>
      <c r="H583">
        <v>9830</v>
      </c>
    </row>
    <row r="584" spans="1:8" x14ac:dyDescent="0.25">
      <c r="A584" s="10">
        <v>568</v>
      </c>
      <c r="B584" t="s">
        <v>1267</v>
      </c>
      <c r="C584" s="2" t="s">
        <v>967</v>
      </c>
      <c r="D584" s="1" t="s">
        <v>1296</v>
      </c>
      <c r="E584">
        <v>5310</v>
      </c>
      <c r="F584">
        <v>5350</v>
      </c>
      <c r="G584">
        <v>5500</v>
      </c>
      <c r="H584">
        <v>9830</v>
      </c>
    </row>
    <row r="585" spans="1:8" x14ac:dyDescent="0.25">
      <c r="A585" s="10">
        <v>569</v>
      </c>
      <c r="B585" t="s">
        <v>1268</v>
      </c>
      <c r="C585" s="2" t="s">
        <v>968</v>
      </c>
      <c r="D585" s="1" t="s">
        <v>1296</v>
      </c>
      <c r="E585">
        <v>5310</v>
      </c>
      <c r="F585">
        <v>5350</v>
      </c>
      <c r="G585">
        <v>5500</v>
      </c>
      <c r="H585">
        <v>9830</v>
      </c>
    </row>
    <row r="586" spans="1:8" x14ac:dyDescent="0.25">
      <c r="A586" s="10">
        <v>570</v>
      </c>
      <c r="B586" t="s">
        <v>1269</v>
      </c>
      <c r="C586" s="2" t="s">
        <v>969</v>
      </c>
      <c r="D586" s="1" t="s">
        <v>1296</v>
      </c>
      <c r="E586">
        <v>5310</v>
      </c>
      <c r="F586">
        <v>5350</v>
      </c>
      <c r="G586">
        <v>5500</v>
      </c>
      <c r="H586">
        <v>9830</v>
      </c>
    </row>
    <row r="587" spans="1:8" x14ac:dyDescent="0.25">
      <c r="A587" s="10">
        <v>571</v>
      </c>
      <c r="B587" t="s">
        <v>1270</v>
      </c>
      <c r="C587" s="2" t="s">
        <v>970</v>
      </c>
      <c r="D587" s="1" t="s">
        <v>1296</v>
      </c>
      <c r="E587">
        <v>5310</v>
      </c>
      <c r="F587">
        <v>5350</v>
      </c>
      <c r="G587">
        <v>5500</v>
      </c>
      <c r="H587">
        <v>9830</v>
      </c>
    </row>
    <row r="588" spans="1:8" x14ac:dyDescent="0.25">
      <c r="A588" s="10">
        <v>572</v>
      </c>
      <c r="B588" t="s">
        <v>1271</v>
      </c>
      <c r="C588" s="2" t="s">
        <v>971</v>
      </c>
      <c r="D588" s="1" t="s">
        <v>1296</v>
      </c>
      <c r="E588">
        <v>5310</v>
      </c>
      <c r="F588">
        <v>5350</v>
      </c>
      <c r="G588">
        <v>5500</v>
      </c>
      <c r="H588">
        <v>9830</v>
      </c>
    </row>
    <row r="589" spans="1:8" x14ac:dyDescent="0.25">
      <c r="A589" s="10">
        <v>573</v>
      </c>
      <c r="B589" t="s">
        <v>1272</v>
      </c>
      <c r="C589" s="2" t="s">
        <v>972</v>
      </c>
      <c r="D589" s="1" t="s">
        <v>1296</v>
      </c>
      <c r="E589">
        <v>5310</v>
      </c>
      <c r="F589">
        <v>5350</v>
      </c>
      <c r="G589">
        <v>5500</v>
      </c>
      <c r="H589">
        <v>9830</v>
      </c>
    </row>
    <row r="590" spans="1:8" x14ac:dyDescent="0.25">
      <c r="A590" s="10">
        <v>574</v>
      </c>
      <c r="B590" t="s">
        <v>1273</v>
      </c>
      <c r="C590" s="2" t="s">
        <v>973</v>
      </c>
      <c r="D590" s="1" t="s">
        <v>1296</v>
      </c>
      <c r="E590">
        <v>5310</v>
      </c>
      <c r="F590">
        <v>5350</v>
      </c>
      <c r="G590">
        <v>5500</v>
      </c>
      <c r="H590">
        <v>9830</v>
      </c>
    </row>
    <row r="591" spans="1:8" x14ac:dyDescent="0.25">
      <c r="A591" s="10">
        <v>575</v>
      </c>
      <c r="B591" t="s">
        <v>1274</v>
      </c>
      <c r="C591" s="2" t="s">
        <v>974</v>
      </c>
      <c r="D591" s="1" t="s">
        <v>1296</v>
      </c>
      <c r="E591">
        <v>5310</v>
      </c>
      <c r="F591">
        <v>5350</v>
      </c>
      <c r="G591">
        <v>5500</v>
      </c>
      <c r="H591">
        <v>9830</v>
      </c>
    </row>
    <row r="592" spans="1:8" x14ac:dyDescent="0.25">
      <c r="A592" s="10">
        <v>576</v>
      </c>
      <c r="B592" t="s">
        <v>1275</v>
      </c>
      <c r="C592" s="2" t="s">
        <v>975</v>
      </c>
      <c r="D592" s="1" t="s">
        <v>1296</v>
      </c>
      <c r="E592">
        <v>5310</v>
      </c>
      <c r="F592">
        <v>5350</v>
      </c>
      <c r="G592">
        <v>5500</v>
      </c>
      <c r="H592">
        <v>9830</v>
      </c>
    </row>
    <row r="593" spans="1:8" x14ac:dyDescent="0.25">
      <c r="A593" s="10">
        <v>577</v>
      </c>
      <c r="B593" t="s">
        <v>1276</v>
      </c>
      <c r="C593" s="2" t="s">
        <v>976</v>
      </c>
      <c r="D593" s="1" t="s">
        <v>1296</v>
      </c>
      <c r="E593">
        <v>5310</v>
      </c>
      <c r="F593">
        <v>5350</v>
      </c>
      <c r="G593">
        <v>5500</v>
      </c>
      <c r="H593">
        <v>9830</v>
      </c>
    </row>
    <row r="594" spans="1:8" x14ac:dyDescent="0.25">
      <c r="A594" s="10">
        <v>578</v>
      </c>
      <c r="B594" t="s">
        <v>1277</v>
      </c>
      <c r="C594" s="2" t="s">
        <v>977</v>
      </c>
      <c r="D594" s="1" t="s">
        <v>1296</v>
      </c>
      <c r="E594">
        <v>5310</v>
      </c>
      <c r="F594">
        <v>5350</v>
      </c>
      <c r="G594">
        <v>5500</v>
      </c>
      <c r="H594">
        <v>9830</v>
      </c>
    </row>
    <row r="595" spans="1:8" x14ac:dyDescent="0.25">
      <c r="A595" s="10">
        <v>579</v>
      </c>
      <c r="B595" t="s">
        <v>1278</v>
      </c>
      <c r="C595" s="2" t="s">
        <v>978</v>
      </c>
      <c r="D595" s="1" t="s">
        <v>1296</v>
      </c>
      <c r="E595">
        <v>5310</v>
      </c>
      <c r="F595">
        <v>5350</v>
      </c>
      <c r="G595">
        <v>5500</v>
      </c>
      <c r="H595">
        <v>9830</v>
      </c>
    </row>
    <row r="596" spans="1:8" x14ac:dyDescent="0.25">
      <c r="A596" s="10">
        <v>580</v>
      </c>
      <c r="B596" t="s">
        <v>1279</v>
      </c>
      <c r="C596" s="2" t="s">
        <v>979</v>
      </c>
      <c r="D596" s="1" t="s">
        <v>1296</v>
      </c>
      <c r="E596">
        <v>5310</v>
      </c>
      <c r="F596">
        <v>5350</v>
      </c>
      <c r="G596">
        <v>5500</v>
      </c>
      <c r="H596">
        <v>9830</v>
      </c>
    </row>
    <row r="597" spans="1:8" x14ac:dyDescent="0.25">
      <c r="A597" s="10">
        <v>581</v>
      </c>
      <c r="B597" t="s">
        <v>1280</v>
      </c>
      <c r="C597" s="2" t="s">
        <v>980</v>
      </c>
      <c r="D597" s="1" t="s">
        <v>1296</v>
      </c>
      <c r="E597">
        <v>5310</v>
      </c>
      <c r="F597">
        <v>5350</v>
      </c>
      <c r="G597">
        <v>5500</v>
      </c>
      <c r="H597">
        <v>9830</v>
      </c>
    </row>
    <row r="598" spans="1:8" x14ac:dyDescent="0.25">
      <c r="A598" s="10">
        <v>582</v>
      </c>
      <c r="B598" t="s">
        <v>1281</v>
      </c>
      <c r="C598" s="2" t="s">
        <v>981</v>
      </c>
      <c r="D598" s="1" t="s">
        <v>1296</v>
      </c>
      <c r="E598">
        <v>5310</v>
      </c>
      <c r="F598">
        <v>5350</v>
      </c>
      <c r="G598">
        <v>5500</v>
      </c>
      <c r="H598">
        <v>9830</v>
      </c>
    </row>
    <row r="599" spans="1:8" x14ac:dyDescent="0.25">
      <c r="A599" s="10">
        <v>583</v>
      </c>
      <c r="B599" t="s">
        <v>1282</v>
      </c>
      <c r="C599" s="2" t="s">
        <v>982</v>
      </c>
      <c r="D599" s="1" t="s">
        <v>1296</v>
      </c>
      <c r="E599">
        <v>5310</v>
      </c>
      <c r="F599">
        <v>5350</v>
      </c>
      <c r="G599">
        <v>5500</v>
      </c>
      <c r="H599">
        <v>9830</v>
      </c>
    </row>
    <row r="600" spans="1:8" x14ac:dyDescent="0.25">
      <c r="A600" s="10">
        <v>584</v>
      </c>
      <c r="B600" t="s">
        <v>1283</v>
      </c>
      <c r="C600" s="2" t="s">
        <v>983</v>
      </c>
      <c r="D600" s="1" t="s">
        <v>1296</v>
      </c>
      <c r="E600">
        <v>5310</v>
      </c>
      <c r="F600">
        <v>5350</v>
      </c>
      <c r="G600">
        <v>5500</v>
      </c>
      <c r="H600">
        <v>9830</v>
      </c>
    </row>
    <row r="601" spans="1:8" x14ac:dyDescent="0.25">
      <c r="A601" s="10">
        <v>585</v>
      </c>
      <c r="B601" t="s">
        <v>1284</v>
      </c>
      <c r="C601" s="2" t="s">
        <v>984</v>
      </c>
      <c r="D601" s="1" t="s">
        <v>1296</v>
      </c>
      <c r="E601">
        <v>5310</v>
      </c>
      <c r="F601">
        <v>5350</v>
      </c>
      <c r="G601">
        <v>5500</v>
      </c>
      <c r="H601">
        <v>9830</v>
      </c>
    </row>
    <row r="602" spans="1:8" x14ac:dyDescent="0.25">
      <c r="A602" s="10">
        <v>586</v>
      </c>
      <c r="B602" t="s">
        <v>1285</v>
      </c>
      <c r="C602" s="2" t="s">
        <v>985</v>
      </c>
      <c r="D602" s="1" t="s">
        <v>1296</v>
      </c>
      <c r="E602">
        <v>5310</v>
      </c>
      <c r="F602">
        <v>5350</v>
      </c>
      <c r="G602">
        <v>5500</v>
      </c>
      <c r="H602">
        <v>9830</v>
      </c>
    </row>
    <row r="603" spans="1:8" x14ac:dyDescent="0.25">
      <c r="A603" s="10">
        <v>587</v>
      </c>
      <c r="B603" t="s">
        <v>1286</v>
      </c>
      <c r="C603" s="2" t="s">
        <v>986</v>
      </c>
      <c r="D603" s="1" t="s">
        <v>1296</v>
      </c>
      <c r="E603">
        <v>5310</v>
      </c>
      <c r="F603">
        <v>5350</v>
      </c>
      <c r="G603">
        <v>5500</v>
      </c>
      <c r="H603">
        <v>9830</v>
      </c>
    </row>
    <row r="604" spans="1:8" x14ac:dyDescent="0.25">
      <c r="A604" s="10">
        <v>588</v>
      </c>
      <c r="B604" t="s">
        <v>1287</v>
      </c>
      <c r="C604" s="2" t="s">
        <v>987</v>
      </c>
      <c r="D604" s="1" t="s">
        <v>1296</v>
      </c>
      <c r="E604">
        <v>5310</v>
      </c>
      <c r="F604">
        <v>5350</v>
      </c>
      <c r="G604">
        <v>5500</v>
      </c>
      <c r="H604">
        <v>9830</v>
      </c>
    </row>
    <row r="605" spans="1:8" x14ac:dyDescent="0.25">
      <c r="A605" s="10">
        <v>589</v>
      </c>
      <c r="B605" t="s">
        <v>1288</v>
      </c>
      <c r="C605" s="2" t="s">
        <v>988</v>
      </c>
      <c r="D605" s="1" t="s">
        <v>1296</v>
      </c>
      <c r="E605">
        <v>5310</v>
      </c>
      <c r="F605">
        <v>5350</v>
      </c>
      <c r="G605">
        <v>5500</v>
      </c>
      <c r="H605">
        <v>9830</v>
      </c>
    </row>
    <row r="606" spans="1:8" x14ac:dyDescent="0.25">
      <c r="A606" s="10">
        <v>590</v>
      </c>
      <c r="B606" t="s">
        <v>1289</v>
      </c>
      <c r="C606" s="2" t="s">
        <v>989</v>
      </c>
      <c r="D606" s="1" t="s">
        <v>1296</v>
      </c>
      <c r="E606">
        <v>5310</v>
      </c>
      <c r="F606">
        <v>5350</v>
      </c>
      <c r="G606">
        <v>5500</v>
      </c>
      <c r="H606">
        <v>9830</v>
      </c>
    </row>
    <row r="607" spans="1:8" x14ac:dyDescent="0.25">
      <c r="A607" s="10">
        <v>591</v>
      </c>
      <c r="B607" t="s">
        <v>1290</v>
      </c>
      <c r="C607" s="2" t="s">
        <v>990</v>
      </c>
      <c r="D607" s="1" t="s">
        <v>1296</v>
      </c>
      <c r="E607">
        <v>5310</v>
      </c>
      <c r="F607">
        <v>5350</v>
      </c>
      <c r="G607">
        <v>5500</v>
      </c>
      <c r="H607">
        <v>9830</v>
      </c>
    </row>
    <row r="608" spans="1:8" x14ac:dyDescent="0.25">
      <c r="A608" s="10">
        <v>592</v>
      </c>
      <c r="B608" t="s">
        <v>1291</v>
      </c>
      <c r="C608" s="2" t="s">
        <v>991</v>
      </c>
      <c r="D608" s="1" t="s">
        <v>1296</v>
      </c>
      <c r="E608">
        <v>5310</v>
      </c>
      <c r="F608">
        <v>5350</v>
      </c>
      <c r="G608">
        <v>5500</v>
      </c>
      <c r="H608">
        <v>9830</v>
      </c>
    </row>
    <row r="609" spans="1:8" x14ac:dyDescent="0.25">
      <c r="A609" s="10">
        <v>593</v>
      </c>
      <c r="B609" t="s">
        <v>1292</v>
      </c>
      <c r="C609" s="2" t="s">
        <v>992</v>
      </c>
      <c r="D609" s="1" t="s">
        <v>1296</v>
      </c>
      <c r="E609">
        <v>5310</v>
      </c>
      <c r="F609">
        <v>5350</v>
      </c>
      <c r="G609">
        <v>5500</v>
      </c>
      <c r="H609">
        <v>9830</v>
      </c>
    </row>
    <row r="610" spans="1:8" x14ac:dyDescent="0.25">
      <c r="A610" s="10">
        <v>594</v>
      </c>
      <c r="B610" t="s">
        <v>1293</v>
      </c>
      <c r="C610" s="2" t="s">
        <v>993</v>
      </c>
      <c r="D610" s="1" t="s">
        <v>1296</v>
      </c>
      <c r="E610">
        <v>5310</v>
      </c>
      <c r="F610">
        <v>5350</v>
      </c>
      <c r="G610">
        <v>5500</v>
      </c>
      <c r="H610">
        <v>9830</v>
      </c>
    </row>
    <row r="611" spans="1:8" x14ac:dyDescent="0.25">
      <c r="A611" s="10">
        <v>595</v>
      </c>
      <c r="B611" t="s">
        <v>1294</v>
      </c>
      <c r="C611" s="2" t="s">
        <v>994</v>
      </c>
      <c r="D611" s="1" t="s">
        <v>1296</v>
      </c>
      <c r="E611">
        <v>5310</v>
      </c>
      <c r="F611">
        <v>5350</v>
      </c>
      <c r="G611">
        <v>5500</v>
      </c>
      <c r="H611">
        <v>9830</v>
      </c>
    </row>
    <row r="612" spans="1:8" x14ac:dyDescent="0.25">
      <c r="C612" s="5"/>
    </row>
    <row r="613" spans="1:8" x14ac:dyDescent="0.25">
      <c r="A613" s="10">
        <v>596</v>
      </c>
      <c r="B613" t="s">
        <v>1195</v>
      </c>
      <c r="C613" s="2" t="s">
        <v>995</v>
      </c>
      <c r="D613" s="1" t="s">
        <v>1297</v>
      </c>
      <c r="E613">
        <v>14022</v>
      </c>
      <c r="F613">
        <v>14200</v>
      </c>
      <c r="G613">
        <v>14500</v>
      </c>
      <c r="H613">
        <v>23370</v>
      </c>
    </row>
    <row r="614" spans="1:8" x14ac:dyDescent="0.25">
      <c r="A614" s="10">
        <v>597</v>
      </c>
      <c r="B614" t="s">
        <v>1196</v>
      </c>
      <c r="C614" s="2" t="s">
        <v>996</v>
      </c>
      <c r="D614" s="1" t="s">
        <v>1297</v>
      </c>
      <c r="E614">
        <v>14022</v>
      </c>
      <c r="F614">
        <v>14200</v>
      </c>
      <c r="G614">
        <v>14500</v>
      </c>
      <c r="H614">
        <v>23370</v>
      </c>
    </row>
    <row r="615" spans="1:8" x14ac:dyDescent="0.25">
      <c r="A615" s="10">
        <v>598</v>
      </c>
      <c r="B615" t="s">
        <v>1197</v>
      </c>
      <c r="C615" s="2" t="s">
        <v>997</v>
      </c>
      <c r="D615" s="1" t="s">
        <v>1297</v>
      </c>
      <c r="E615">
        <v>14022</v>
      </c>
      <c r="F615">
        <v>14200</v>
      </c>
      <c r="G615">
        <v>14500</v>
      </c>
      <c r="H615">
        <v>23370</v>
      </c>
    </row>
    <row r="616" spans="1:8" x14ac:dyDescent="0.25">
      <c r="A616" s="10">
        <v>599</v>
      </c>
      <c r="B616" t="s">
        <v>1198</v>
      </c>
      <c r="C616" s="2" t="s">
        <v>998</v>
      </c>
      <c r="D616" s="1" t="s">
        <v>1297</v>
      </c>
      <c r="E616">
        <v>14022</v>
      </c>
      <c r="F616">
        <v>14200</v>
      </c>
      <c r="G616">
        <v>14500</v>
      </c>
      <c r="H616">
        <v>23370</v>
      </c>
    </row>
    <row r="617" spans="1:8" x14ac:dyDescent="0.25">
      <c r="A617" s="10">
        <v>600</v>
      </c>
      <c r="B617" t="s">
        <v>1199</v>
      </c>
      <c r="C617" s="2" t="s">
        <v>999</v>
      </c>
      <c r="D617" s="1" t="s">
        <v>1297</v>
      </c>
      <c r="E617">
        <v>14022</v>
      </c>
      <c r="F617">
        <v>14200</v>
      </c>
      <c r="G617">
        <v>14500</v>
      </c>
      <c r="H617">
        <v>23370</v>
      </c>
    </row>
    <row r="618" spans="1:8" x14ac:dyDescent="0.25">
      <c r="A618" s="10">
        <v>601</v>
      </c>
      <c r="B618" t="s">
        <v>1200</v>
      </c>
      <c r="C618" s="2" t="s">
        <v>1000</v>
      </c>
      <c r="D618" s="1" t="s">
        <v>1297</v>
      </c>
      <c r="E618">
        <v>14022</v>
      </c>
      <c r="F618">
        <v>14200</v>
      </c>
      <c r="G618">
        <v>14500</v>
      </c>
      <c r="H618">
        <v>23370</v>
      </c>
    </row>
    <row r="619" spans="1:8" x14ac:dyDescent="0.25">
      <c r="A619" s="10">
        <v>602</v>
      </c>
      <c r="B619" t="s">
        <v>1201</v>
      </c>
      <c r="C619" s="2" t="s">
        <v>1001</v>
      </c>
      <c r="D619" s="1" t="s">
        <v>1297</v>
      </c>
      <c r="E619">
        <v>14022</v>
      </c>
      <c r="F619">
        <v>14200</v>
      </c>
      <c r="G619">
        <v>14500</v>
      </c>
      <c r="H619">
        <v>23370</v>
      </c>
    </row>
    <row r="620" spans="1:8" x14ac:dyDescent="0.25">
      <c r="A620" s="10">
        <v>603</v>
      </c>
      <c r="B620" t="s">
        <v>1202</v>
      </c>
      <c r="C620" s="2" t="s">
        <v>1002</v>
      </c>
      <c r="D620" s="1" t="s">
        <v>1297</v>
      </c>
      <c r="E620">
        <v>14022</v>
      </c>
      <c r="F620">
        <v>14200</v>
      </c>
      <c r="G620">
        <v>14500</v>
      </c>
      <c r="H620">
        <v>23370</v>
      </c>
    </row>
    <row r="621" spans="1:8" x14ac:dyDescent="0.25">
      <c r="A621" s="10">
        <v>604</v>
      </c>
      <c r="B621" t="s">
        <v>1203</v>
      </c>
      <c r="C621" s="2" t="s">
        <v>1003</v>
      </c>
      <c r="D621" s="1" t="s">
        <v>1297</v>
      </c>
      <c r="E621">
        <v>14022</v>
      </c>
      <c r="F621">
        <v>14200</v>
      </c>
      <c r="G621">
        <v>14500</v>
      </c>
      <c r="H621">
        <v>23370</v>
      </c>
    </row>
    <row r="622" spans="1:8" x14ac:dyDescent="0.25">
      <c r="A622" s="10">
        <v>605</v>
      </c>
      <c r="B622" t="s">
        <v>1204</v>
      </c>
      <c r="C622" s="2" t="s">
        <v>1004</v>
      </c>
      <c r="D622" s="1" t="s">
        <v>1297</v>
      </c>
      <c r="E622">
        <v>14022</v>
      </c>
      <c r="F622">
        <v>14200</v>
      </c>
      <c r="G622">
        <v>14500</v>
      </c>
      <c r="H622">
        <v>23370</v>
      </c>
    </row>
    <row r="623" spans="1:8" x14ac:dyDescent="0.25">
      <c r="A623" s="10">
        <v>606</v>
      </c>
      <c r="B623" t="s">
        <v>1205</v>
      </c>
      <c r="C623" s="2" t="s">
        <v>1005</v>
      </c>
      <c r="D623" s="1" t="s">
        <v>1297</v>
      </c>
      <c r="E623">
        <v>14022</v>
      </c>
      <c r="F623">
        <v>14200</v>
      </c>
      <c r="G623">
        <v>14500</v>
      </c>
      <c r="H623">
        <v>23370</v>
      </c>
    </row>
    <row r="624" spans="1:8" x14ac:dyDescent="0.25">
      <c r="A624" s="10">
        <v>607</v>
      </c>
      <c r="B624" t="s">
        <v>1206</v>
      </c>
      <c r="C624" s="2" t="s">
        <v>1006</v>
      </c>
      <c r="D624" s="1" t="s">
        <v>1297</v>
      </c>
      <c r="E624">
        <v>14022</v>
      </c>
      <c r="F624">
        <v>14200</v>
      </c>
      <c r="G624">
        <v>14500</v>
      </c>
      <c r="H624">
        <v>23370</v>
      </c>
    </row>
    <row r="625" spans="1:8" x14ac:dyDescent="0.25">
      <c r="A625" s="10">
        <v>608</v>
      </c>
      <c r="B625" t="s">
        <v>1207</v>
      </c>
      <c r="C625" s="2" t="s">
        <v>1007</v>
      </c>
      <c r="D625" s="1" t="s">
        <v>1297</v>
      </c>
      <c r="E625">
        <v>14022</v>
      </c>
      <c r="F625">
        <v>14200</v>
      </c>
      <c r="G625">
        <v>14500</v>
      </c>
      <c r="H625">
        <v>23370</v>
      </c>
    </row>
    <row r="626" spans="1:8" x14ac:dyDescent="0.25">
      <c r="A626" s="10">
        <v>609</v>
      </c>
      <c r="B626" t="s">
        <v>1208</v>
      </c>
      <c r="C626" s="2" t="s">
        <v>1008</v>
      </c>
      <c r="D626" s="1" t="s">
        <v>1297</v>
      </c>
      <c r="E626">
        <v>14022</v>
      </c>
      <c r="F626">
        <v>14200</v>
      </c>
      <c r="G626">
        <v>14500</v>
      </c>
      <c r="H626">
        <v>23370</v>
      </c>
    </row>
    <row r="627" spans="1:8" x14ac:dyDescent="0.25">
      <c r="A627" s="10">
        <v>610</v>
      </c>
      <c r="B627" t="s">
        <v>1209</v>
      </c>
      <c r="C627" s="2" t="s">
        <v>1009</v>
      </c>
      <c r="D627" s="1" t="s">
        <v>1297</v>
      </c>
      <c r="E627">
        <v>14022</v>
      </c>
      <c r="F627">
        <v>14200</v>
      </c>
      <c r="G627">
        <v>14500</v>
      </c>
      <c r="H627">
        <v>23370</v>
      </c>
    </row>
    <row r="628" spans="1:8" x14ac:dyDescent="0.25">
      <c r="A628" s="10">
        <v>611</v>
      </c>
      <c r="B628" t="s">
        <v>1210</v>
      </c>
      <c r="C628" s="2" t="s">
        <v>1010</v>
      </c>
      <c r="D628" s="1" t="s">
        <v>1297</v>
      </c>
      <c r="E628">
        <v>14022</v>
      </c>
      <c r="F628">
        <v>14200</v>
      </c>
      <c r="G628">
        <v>14500</v>
      </c>
      <c r="H628">
        <v>23370</v>
      </c>
    </row>
    <row r="629" spans="1:8" x14ac:dyDescent="0.25">
      <c r="A629" s="10">
        <v>612</v>
      </c>
      <c r="B629" t="s">
        <v>1211</v>
      </c>
      <c r="C629" s="2" t="s">
        <v>1011</v>
      </c>
      <c r="D629" s="1" t="s">
        <v>1297</v>
      </c>
      <c r="E629">
        <v>14022</v>
      </c>
      <c r="F629">
        <v>14200</v>
      </c>
      <c r="G629">
        <v>14500</v>
      </c>
      <c r="H629">
        <v>23370</v>
      </c>
    </row>
    <row r="630" spans="1:8" x14ac:dyDescent="0.25">
      <c r="A630" s="10">
        <v>613</v>
      </c>
      <c r="B630" t="s">
        <v>1212</v>
      </c>
      <c r="C630" s="2" t="s">
        <v>1012</v>
      </c>
      <c r="D630" s="1" t="s">
        <v>1297</v>
      </c>
      <c r="E630">
        <v>14022</v>
      </c>
      <c r="F630">
        <v>14200</v>
      </c>
      <c r="G630">
        <v>14500</v>
      </c>
      <c r="H630">
        <v>23370</v>
      </c>
    </row>
    <row r="631" spans="1:8" x14ac:dyDescent="0.25">
      <c r="A631" s="10">
        <v>614</v>
      </c>
      <c r="B631" t="s">
        <v>1213</v>
      </c>
      <c r="C631" s="2" t="s">
        <v>1013</v>
      </c>
      <c r="D631" s="1" t="s">
        <v>1297</v>
      </c>
      <c r="E631">
        <v>14022</v>
      </c>
      <c r="F631">
        <v>14200</v>
      </c>
      <c r="G631">
        <v>14500</v>
      </c>
      <c r="H631">
        <v>23370</v>
      </c>
    </row>
    <row r="632" spans="1:8" x14ac:dyDescent="0.25">
      <c r="A632" s="10">
        <v>615</v>
      </c>
      <c r="B632" t="s">
        <v>1214</v>
      </c>
      <c r="C632" s="2" t="s">
        <v>1014</v>
      </c>
      <c r="D632" s="1" t="s">
        <v>1297</v>
      </c>
      <c r="E632">
        <v>14022</v>
      </c>
      <c r="F632">
        <v>14200</v>
      </c>
      <c r="G632">
        <v>14500</v>
      </c>
      <c r="H632">
        <v>23370</v>
      </c>
    </row>
    <row r="633" spans="1:8" x14ac:dyDescent="0.25">
      <c r="A633" s="10">
        <v>616</v>
      </c>
      <c r="B633" t="s">
        <v>1215</v>
      </c>
      <c r="C633" s="2" t="s">
        <v>1015</v>
      </c>
      <c r="D633" s="1" t="s">
        <v>1297</v>
      </c>
      <c r="E633">
        <v>14022</v>
      </c>
      <c r="F633">
        <v>14200</v>
      </c>
      <c r="G633">
        <v>14500</v>
      </c>
      <c r="H633">
        <v>23370</v>
      </c>
    </row>
    <row r="634" spans="1:8" x14ac:dyDescent="0.25">
      <c r="A634" s="10">
        <v>617</v>
      </c>
      <c r="B634" t="s">
        <v>1216</v>
      </c>
      <c r="C634" s="2" t="s">
        <v>1016</v>
      </c>
      <c r="D634" s="1" t="s">
        <v>1297</v>
      </c>
      <c r="E634">
        <v>14022</v>
      </c>
      <c r="F634">
        <v>14200</v>
      </c>
      <c r="G634">
        <v>14500</v>
      </c>
      <c r="H634">
        <v>23370</v>
      </c>
    </row>
    <row r="635" spans="1:8" x14ac:dyDescent="0.25">
      <c r="A635" s="10">
        <v>618</v>
      </c>
      <c r="B635" t="s">
        <v>1217</v>
      </c>
      <c r="C635" s="2" t="s">
        <v>1017</v>
      </c>
      <c r="D635" s="1" t="s">
        <v>1297</v>
      </c>
      <c r="E635">
        <v>14022</v>
      </c>
      <c r="F635">
        <v>14200</v>
      </c>
      <c r="G635">
        <v>14500</v>
      </c>
      <c r="H635">
        <v>23370</v>
      </c>
    </row>
    <row r="636" spans="1:8" x14ac:dyDescent="0.25">
      <c r="A636" s="10">
        <v>619</v>
      </c>
      <c r="B636" t="s">
        <v>1218</v>
      </c>
      <c r="C636" s="2" t="s">
        <v>1018</v>
      </c>
      <c r="D636" s="1" t="s">
        <v>1297</v>
      </c>
      <c r="E636">
        <v>14022</v>
      </c>
      <c r="F636">
        <v>14200</v>
      </c>
      <c r="G636">
        <v>14500</v>
      </c>
      <c r="H636">
        <v>23370</v>
      </c>
    </row>
    <row r="637" spans="1:8" x14ac:dyDescent="0.25">
      <c r="A637" s="10">
        <v>620</v>
      </c>
      <c r="B637" t="s">
        <v>1219</v>
      </c>
      <c r="C637" s="2" t="s">
        <v>1019</v>
      </c>
      <c r="D637" s="1" t="s">
        <v>1297</v>
      </c>
      <c r="E637">
        <v>14022</v>
      </c>
      <c r="F637">
        <v>14200</v>
      </c>
      <c r="G637">
        <v>14500</v>
      </c>
      <c r="H637">
        <v>23370</v>
      </c>
    </row>
    <row r="638" spans="1:8" x14ac:dyDescent="0.25">
      <c r="A638" s="10">
        <v>621</v>
      </c>
      <c r="B638" t="s">
        <v>1220</v>
      </c>
      <c r="C638" s="2" t="s">
        <v>1020</v>
      </c>
      <c r="D638" s="1" t="s">
        <v>1297</v>
      </c>
      <c r="E638">
        <v>14022</v>
      </c>
      <c r="F638">
        <v>14200</v>
      </c>
      <c r="G638">
        <v>14500</v>
      </c>
      <c r="H638">
        <v>23370</v>
      </c>
    </row>
    <row r="639" spans="1:8" x14ac:dyDescent="0.25">
      <c r="A639" s="10">
        <v>622</v>
      </c>
      <c r="B639" t="s">
        <v>1221</v>
      </c>
      <c r="C639" s="2" t="s">
        <v>1021</v>
      </c>
      <c r="D639" s="1" t="s">
        <v>1297</v>
      </c>
      <c r="E639">
        <v>14022</v>
      </c>
      <c r="F639">
        <v>14200</v>
      </c>
      <c r="G639">
        <v>14500</v>
      </c>
      <c r="H639">
        <v>23370</v>
      </c>
    </row>
    <row r="640" spans="1:8" x14ac:dyDescent="0.25">
      <c r="A640" s="10">
        <v>623</v>
      </c>
      <c r="B640" t="s">
        <v>1222</v>
      </c>
      <c r="C640" s="2" t="s">
        <v>1022</v>
      </c>
      <c r="D640" s="1" t="s">
        <v>1297</v>
      </c>
      <c r="E640">
        <v>14022</v>
      </c>
      <c r="F640">
        <v>14200</v>
      </c>
      <c r="G640">
        <v>14500</v>
      </c>
      <c r="H640">
        <v>23370</v>
      </c>
    </row>
    <row r="641" spans="1:8" x14ac:dyDescent="0.25">
      <c r="A641" s="10">
        <v>624</v>
      </c>
      <c r="B641" t="s">
        <v>1223</v>
      </c>
      <c r="C641" s="2" t="s">
        <v>1023</v>
      </c>
      <c r="D641" s="1" t="s">
        <v>1297</v>
      </c>
      <c r="E641">
        <v>14022</v>
      </c>
      <c r="F641">
        <v>14200</v>
      </c>
      <c r="G641">
        <v>14500</v>
      </c>
      <c r="H641">
        <v>23370</v>
      </c>
    </row>
    <row r="642" spans="1:8" x14ac:dyDescent="0.25">
      <c r="A642" s="10">
        <v>625</v>
      </c>
      <c r="B642" t="s">
        <v>1224</v>
      </c>
      <c r="C642" s="2" t="s">
        <v>1024</v>
      </c>
      <c r="D642" s="1" t="s">
        <v>1297</v>
      </c>
      <c r="E642">
        <v>14022</v>
      </c>
      <c r="F642">
        <v>14200</v>
      </c>
      <c r="G642">
        <v>14500</v>
      </c>
      <c r="H642">
        <v>23370</v>
      </c>
    </row>
    <row r="643" spans="1:8" x14ac:dyDescent="0.25">
      <c r="A643" s="10">
        <v>626</v>
      </c>
      <c r="B643" t="s">
        <v>1225</v>
      </c>
      <c r="C643" s="2" t="s">
        <v>1025</v>
      </c>
      <c r="D643" s="1" t="s">
        <v>1297</v>
      </c>
      <c r="E643">
        <v>14022</v>
      </c>
      <c r="F643">
        <v>14200</v>
      </c>
      <c r="G643">
        <v>14500</v>
      </c>
      <c r="H643">
        <v>23370</v>
      </c>
    </row>
    <row r="644" spans="1:8" x14ac:dyDescent="0.25">
      <c r="A644" s="10">
        <v>627</v>
      </c>
      <c r="B644" t="s">
        <v>1226</v>
      </c>
      <c r="C644" s="2" t="s">
        <v>1026</v>
      </c>
      <c r="D644" s="1" t="s">
        <v>1297</v>
      </c>
      <c r="E644">
        <v>14022</v>
      </c>
      <c r="F644">
        <v>14200</v>
      </c>
      <c r="G644">
        <v>14500</v>
      </c>
      <c r="H644">
        <v>23370</v>
      </c>
    </row>
    <row r="645" spans="1:8" x14ac:dyDescent="0.25">
      <c r="A645" s="10">
        <v>628</v>
      </c>
      <c r="B645" t="s">
        <v>1227</v>
      </c>
      <c r="C645" s="2" t="s">
        <v>1027</v>
      </c>
      <c r="D645" s="1" t="s">
        <v>1297</v>
      </c>
      <c r="E645">
        <v>14022</v>
      </c>
      <c r="F645">
        <v>14200</v>
      </c>
      <c r="G645">
        <v>14500</v>
      </c>
      <c r="H645">
        <v>23370</v>
      </c>
    </row>
    <row r="646" spans="1:8" x14ac:dyDescent="0.25">
      <c r="A646" s="10">
        <v>629</v>
      </c>
      <c r="B646" t="s">
        <v>1228</v>
      </c>
      <c r="C646" s="2" t="s">
        <v>1028</v>
      </c>
      <c r="D646" s="1" t="s">
        <v>1297</v>
      </c>
      <c r="E646">
        <v>14022</v>
      </c>
      <c r="F646">
        <v>14200</v>
      </c>
      <c r="G646">
        <v>14500</v>
      </c>
      <c r="H646">
        <v>23370</v>
      </c>
    </row>
    <row r="647" spans="1:8" x14ac:dyDescent="0.25">
      <c r="A647" s="10">
        <v>630</v>
      </c>
      <c r="B647" t="s">
        <v>1229</v>
      </c>
      <c r="C647" s="2" t="s">
        <v>1029</v>
      </c>
      <c r="D647" s="1" t="s">
        <v>1297</v>
      </c>
      <c r="E647">
        <v>14022</v>
      </c>
      <c r="F647">
        <v>14200</v>
      </c>
      <c r="G647">
        <v>14500</v>
      </c>
      <c r="H647">
        <v>23370</v>
      </c>
    </row>
    <row r="648" spans="1:8" x14ac:dyDescent="0.25">
      <c r="A648" s="10">
        <v>631</v>
      </c>
      <c r="B648" t="s">
        <v>1230</v>
      </c>
      <c r="C648" s="2" t="s">
        <v>1030</v>
      </c>
      <c r="D648" s="1" t="s">
        <v>1297</v>
      </c>
      <c r="E648">
        <v>14022</v>
      </c>
      <c r="F648">
        <v>14200</v>
      </c>
      <c r="G648">
        <v>14500</v>
      </c>
      <c r="H648">
        <v>23370</v>
      </c>
    </row>
    <row r="649" spans="1:8" x14ac:dyDescent="0.25">
      <c r="A649" s="10">
        <v>632</v>
      </c>
      <c r="B649" t="s">
        <v>1231</v>
      </c>
      <c r="C649" s="2" t="s">
        <v>1031</v>
      </c>
      <c r="D649" s="1" t="s">
        <v>1297</v>
      </c>
      <c r="E649">
        <v>14022</v>
      </c>
      <c r="F649">
        <v>14200</v>
      </c>
      <c r="G649">
        <v>14500</v>
      </c>
      <c r="H649">
        <v>23370</v>
      </c>
    </row>
    <row r="650" spans="1:8" x14ac:dyDescent="0.25">
      <c r="A650" s="10">
        <v>633</v>
      </c>
      <c r="B650" t="s">
        <v>1232</v>
      </c>
      <c r="C650" s="2" t="s">
        <v>1032</v>
      </c>
      <c r="D650" s="1" t="s">
        <v>1297</v>
      </c>
      <c r="E650">
        <v>14022</v>
      </c>
      <c r="F650">
        <v>14200</v>
      </c>
      <c r="G650">
        <v>14500</v>
      </c>
      <c r="H650">
        <v>23370</v>
      </c>
    </row>
    <row r="651" spans="1:8" x14ac:dyDescent="0.25">
      <c r="A651" s="10">
        <v>634</v>
      </c>
      <c r="B651" t="s">
        <v>1233</v>
      </c>
      <c r="C651" s="2" t="s">
        <v>1033</v>
      </c>
      <c r="D651" s="1" t="s">
        <v>1297</v>
      </c>
      <c r="E651">
        <v>14022</v>
      </c>
      <c r="F651">
        <v>14200</v>
      </c>
      <c r="G651">
        <v>14500</v>
      </c>
      <c r="H651">
        <v>23370</v>
      </c>
    </row>
    <row r="652" spans="1:8" x14ac:dyDescent="0.25">
      <c r="A652" s="10">
        <v>635</v>
      </c>
      <c r="B652" t="s">
        <v>1234</v>
      </c>
      <c r="C652" s="2" t="s">
        <v>1034</v>
      </c>
      <c r="D652" s="1" t="s">
        <v>1297</v>
      </c>
      <c r="E652">
        <v>14022</v>
      </c>
      <c r="F652">
        <v>14200</v>
      </c>
      <c r="G652">
        <v>14500</v>
      </c>
      <c r="H652">
        <v>23370</v>
      </c>
    </row>
    <row r="653" spans="1:8" x14ac:dyDescent="0.25">
      <c r="A653" s="10">
        <v>636</v>
      </c>
      <c r="B653" t="s">
        <v>1235</v>
      </c>
      <c r="C653" s="2" t="s">
        <v>1035</v>
      </c>
      <c r="D653" s="1" t="s">
        <v>1297</v>
      </c>
      <c r="E653">
        <v>14022</v>
      </c>
      <c r="F653">
        <v>14200</v>
      </c>
      <c r="G653">
        <v>14500</v>
      </c>
      <c r="H653">
        <v>23370</v>
      </c>
    </row>
    <row r="654" spans="1:8" x14ac:dyDescent="0.25">
      <c r="A654" s="10">
        <v>637</v>
      </c>
      <c r="B654" t="s">
        <v>1236</v>
      </c>
      <c r="C654" s="2" t="s">
        <v>1036</v>
      </c>
      <c r="D654" s="1" t="s">
        <v>1297</v>
      </c>
      <c r="E654">
        <v>14022</v>
      </c>
      <c r="F654">
        <v>14200</v>
      </c>
      <c r="G654">
        <v>14500</v>
      </c>
      <c r="H654">
        <v>23370</v>
      </c>
    </row>
    <row r="655" spans="1:8" x14ac:dyDescent="0.25">
      <c r="A655" s="10">
        <v>638</v>
      </c>
      <c r="B655" t="s">
        <v>1237</v>
      </c>
      <c r="C655" s="2" t="s">
        <v>1037</v>
      </c>
      <c r="D655" s="1" t="s">
        <v>1297</v>
      </c>
      <c r="E655">
        <v>14022</v>
      </c>
      <c r="F655">
        <v>14200</v>
      </c>
      <c r="G655">
        <v>14500</v>
      </c>
      <c r="H655">
        <v>23370</v>
      </c>
    </row>
    <row r="656" spans="1:8" x14ac:dyDescent="0.25">
      <c r="A656" s="10">
        <v>639</v>
      </c>
      <c r="B656" t="s">
        <v>1238</v>
      </c>
      <c r="C656" s="2" t="s">
        <v>1038</v>
      </c>
      <c r="D656" s="1" t="s">
        <v>1297</v>
      </c>
      <c r="E656">
        <v>14022</v>
      </c>
      <c r="F656">
        <v>14200</v>
      </c>
      <c r="G656">
        <v>14500</v>
      </c>
      <c r="H656">
        <v>23370</v>
      </c>
    </row>
    <row r="657" spans="1:8" x14ac:dyDescent="0.25">
      <c r="A657" s="10">
        <v>640</v>
      </c>
      <c r="B657" t="s">
        <v>1239</v>
      </c>
      <c r="C657" s="2" t="s">
        <v>1039</v>
      </c>
      <c r="D657" s="1" t="s">
        <v>1297</v>
      </c>
      <c r="E657">
        <v>14022</v>
      </c>
      <c r="F657">
        <v>14200</v>
      </c>
      <c r="G657">
        <v>14500</v>
      </c>
      <c r="H657">
        <v>23370</v>
      </c>
    </row>
    <row r="658" spans="1:8" x14ac:dyDescent="0.25">
      <c r="A658" s="10">
        <v>641</v>
      </c>
      <c r="B658" t="s">
        <v>1240</v>
      </c>
      <c r="C658" s="2" t="s">
        <v>1040</v>
      </c>
      <c r="D658" s="1" t="s">
        <v>1297</v>
      </c>
      <c r="E658">
        <v>14022</v>
      </c>
      <c r="F658">
        <v>14200</v>
      </c>
      <c r="G658">
        <v>14500</v>
      </c>
      <c r="H658">
        <v>23370</v>
      </c>
    </row>
    <row r="659" spans="1:8" x14ac:dyDescent="0.25">
      <c r="A659" s="10">
        <v>642</v>
      </c>
      <c r="B659" t="s">
        <v>1241</v>
      </c>
      <c r="C659" s="2" t="s">
        <v>1041</v>
      </c>
      <c r="D659" s="1" t="s">
        <v>1297</v>
      </c>
      <c r="E659">
        <v>14022</v>
      </c>
      <c r="F659">
        <v>14200</v>
      </c>
      <c r="G659">
        <v>14500</v>
      </c>
      <c r="H659">
        <v>23370</v>
      </c>
    </row>
    <row r="660" spans="1:8" x14ac:dyDescent="0.25">
      <c r="A660" s="10">
        <v>643</v>
      </c>
      <c r="B660" t="s">
        <v>1242</v>
      </c>
      <c r="C660" s="2" t="s">
        <v>1042</v>
      </c>
      <c r="D660" s="1" t="s">
        <v>1297</v>
      </c>
      <c r="E660">
        <v>14022</v>
      </c>
      <c r="F660">
        <v>14200</v>
      </c>
      <c r="G660">
        <v>14500</v>
      </c>
      <c r="H660">
        <v>23370</v>
      </c>
    </row>
    <row r="661" spans="1:8" x14ac:dyDescent="0.25">
      <c r="A661" s="10">
        <v>644</v>
      </c>
      <c r="B661" t="s">
        <v>1243</v>
      </c>
      <c r="C661" s="2" t="s">
        <v>1043</v>
      </c>
      <c r="D661" s="1" t="s">
        <v>1297</v>
      </c>
      <c r="E661">
        <v>14022</v>
      </c>
      <c r="F661">
        <v>14200</v>
      </c>
      <c r="G661">
        <v>14500</v>
      </c>
      <c r="H661">
        <v>23370</v>
      </c>
    </row>
    <row r="662" spans="1:8" x14ac:dyDescent="0.25">
      <c r="A662" s="10">
        <v>645</v>
      </c>
      <c r="B662" t="s">
        <v>1244</v>
      </c>
      <c r="C662" s="2" t="s">
        <v>1044</v>
      </c>
      <c r="D662" s="1" t="s">
        <v>1297</v>
      </c>
      <c r="E662">
        <v>14022</v>
      </c>
      <c r="F662">
        <v>14200</v>
      </c>
      <c r="G662">
        <v>14500</v>
      </c>
      <c r="H662">
        <v>23370</v>
      </c>
    </row>
    <row r="663" spans="1:8" x14ac:dyDescent="0.25">
      <c r="A663" s="10">
        <v>646</v>
      </c>
      <c r="B663" t="s">
        <v>1245</v>
      </c>
      <c r="C663" s="2" t="s">
        <v>1045</v>
      </c>
      <c r="D663" s="1" t="s">
        <v>1297</v>
      </c>
      <c r="E663">
        <v>14022</v>
      </c>
      <c r="F663">
        <v>14200</v>
      </c>
      <c r="G663">
        <v>14500</v>
      </c>
      <c r="H663">
        <v>23370</v>
      </c>
    </row>
    <row r="664" spans="1:8" x14ac:dyDescent="0.25">
      <c r="A664" s="10">
        <v>647</v>
      </c>
      <c r="B664" t="s">
        <v>1246</v>
      </c>
      <c r="C664" s="2" t="s">
        <v>1046</v>
      </c>
      <c r="D664" s="1" t="s">
        <v>1297</v>
      </c>
      <c r="E664">
        <v>14022</v>
      </c>
      <c r="F664">
        <v>14200</v>
      </c>
      <c r="G664">
        <v>14500</v>
      </c>
      <c r="H664">
        <v>23370</v>
      </c>
    </row>
    <row r="665" spans="1:8" x14ac:dyDescent="0.25">
      <c r="A665" s="10">
        <v>648</v>
      </c>
      <c r="B665" t="s">
        <v>1247</v>
      </c>
      <c r="C665" s="2" t="s">
        <v>1047</v>
      </c>
      <c r="D665" s="1" t="s">
        <v>1297</v>
      </c>
      <c r="E665">
        <v>14022</v>
      </c>
      <c r="F665">
        <v>14200</v>
      </c>
      <c r="G665">
        <v>14500</v>
      </c>
      <c r="H665">
        <v>23370</v>
      </c>
    </row>
    <row r="666" spans="1:8" x14ac:dyDescent="0.25">
      <c r="A666" s="10">
        <v>649</v>
      </c>
      <c r="B666" t="s">
        <v>1248</v>
      </c>
      <c r="C666" s="2" t="s">
        <v>1048</v>
      </c>
      <c r="D666" s="1" t="s">
        <v>1297</v>
      </c>
      <c r="E666">
        <v>14022</v>
      </c>
      <c r="F666">
        <v>14200</v>
      </c>
      <c r="G666">
        <v>14500</v>
      </c>
      <c r="H666">
        <v>23370</v>
      </c>
    </row>
    <row r="667" spans="1:8" x14ac:dyDescent="0.25">
      <c r="A667" s="10">
        <v>650</v>
      </c>
      <c r="B667" t="s">
        <v>1249</v>
      </c>
      <c r="C667" s="2" t="s">
        <v>1049</v>
      </c>
      <c r="D667" s="1" t="s">
        <v>1297</v>
      </c>
      <c r="E667">
        <v>14022</v>
      </c>
      <c r="F667">
        <v>14200</v>
      </c>
      <c r="G667">
        <v>14500</v>
      </c>
      <c r="H667">
        <v>23370</v>
      </c>
    </row>
    <row r="668" spans="1:8" x14ac:dyDescent="0.25">
      <c r="A668" s="10">
        <v>651</v>
      </c>
      <c r="B668" t="s">
        <v>1250</v>
      </c>
      <c r="C668" s="2" t="s">
        <v>1050</v>
      </c>
      <c r="D668" s="1" t="s">
        <v>1297</v>
      </c>
      <c r="E668">
        <v>14022</v>
      </c>
      <c r="F668">
        <v>14200</v>
      </c>
      <c r="G668">
        <v>14500</v>
      </c>
      <c r="H668">
        <v>23370</v>
      </c>
    </row>
    <row r="669" spans="1:8" x14ac:dyDescent="0.25">
      <c r="A669" s="10">
        <v>652</v>
      </c>
      <c r="B669" t="s">
        <v>1251</v>
      </c>
      <c r="C669" s="2" t="s">
        <v>1051</v>
      </c>
      <c r="D669" s="1" t="s">
        <v>1297</v>
      </c>
      <c r="E669">
        <v>14022</v>
      </c>
      <c r="F669">
        <v>14200</v>
      </c>
      <c r="G669">
        <v>14500</v>
      </c>
      <c r="H669">
        <v>23370</v>
      </c>
    </row>
    <row r="670" spans="1:8" x14ac:dyDescent="0.25">
      <c r="A670" s="10">
        <v>653</v>
      </c>
      <c r="B670" t="s">
        <v>1252</v>
      </c>
      <c r="C670" s="2" t="s">
        <v>1052</v>
      </c>
      <c r="D670" s="1" t="s">
        <v>1297</v>
      </c>
      <c r="E670">
        <v>14022</v>
      </c>
      <c r="F670">
        <v>14200</v>
      </c>
      <c r="G670">
        <v>14500</v>
      </c>
      <c r="H670">
        <v>23370</v>
      </c>
    </row>
    <row r="671" spans="1:8" x14ac:dyDescent="0.25">
      <c r="A671" s="10">
        <v>654</v>
      </c>
      <c r="B671" t="s">
        <v>1253</v>
      </c>
      <c r="C671" s="2" t="s">
        <v>1053</v>
      </c>
      <c r="D671" s="1" t="s">
        <v>1297</v>
      </c>
      <c r="E671">
        <v>14022</v>
      </c>
      <c r="F671">
        <v>14200</v>
      </c>
      <c r="G671">
        <v>14500</v>
      </c>
      <c r="H671">
        <v>23370</v>
      </c>
    </row>
    <row r="672" spans="1:8" x14ac:dyDescent="0.25">
      <c r="A672" s="10">
        <v>655</v>
      </c>
      <c r="B672" t="s">
        <v>1254</v>
      </c>
      <c r="C672" s="2" t="s">
        <v>1054</v>
      </c>
      <c r="D672" s="1" t="s">
        <v>1297</v>
      </c>
      <c r="E672">
        <v>14022</v>
      </c>
      <c r="F672">
        <v>14200</v>
      </c>
      <c r="G672">
        <v>14500</v>
      </c>
      <c r="H672">
        <v>23370</v>
      </c>
    </row>
    <row r="673" spans="1:8" x14ac:dyDescent="0.25">
      <c r="A673" s="10">
        <v>656</v>
      </c>
      <c r="B673" t="s">
        <v>1255</v>
      </c>
      <c r="C673" s="2" t="s">
        <v>1055</v>
      </c>
      <c r="D673" s="1" t="s">
        <v>1297</v>
      </c>
      <c r="E673">
        <v>14022</v>
      </c>
      <c r="F673">
        <v>14200</v>
      </c>
      <c r="G673">
        <v>14500</v>
      </c>
      <c r="H673">
        <v>23370</v>
      </c>
    </row>
    <row r="674" spans="1:8" x14ac:dyDescent="0.25">
      <c r="A674" s="10">
        <v>657</v>
      </c>
      <c r="B674" t="s">
        <v>1256</v>
      </c>
      <c r="C674" s="2" t="s">
        <v>1056</v>
      </c>
      <c r="D674" s="1" t="s">
        <v>1297</v>
      </c>
      <c r="E674">
        <v>14022</v>
      </c>
      <c r="F674">
        <v>14200</v>
      </c>
      <c r="G674">
        <v>14500</v>
      </c>
      <c r="H674">
        <v>23370</v>
      </c>
    </row>
    <row r="675" spans="1:8" x14ac:dyDescent="0.25">
      <c r="A675" s="10">
        <v>658</v>
      </c>
      <c r="B675" t="s">
        <v>1257</v>
      </c>
      <c r="C675" s="2" t="s">
        <v>1057</v>
      </c>
      <c r="D675" s="1" t="s">
        <v>1297</v>
      </c>
      <c r="E675">
        <v>14022</v>
      </c>
      <c r="F675">
        <v>14200</v>
      </c>
      <c r="G675">
        <v>14500</v>
      </c>
      <c r="H675">
        <v>23370</v>
      </c>
    </row>
    <row r="676" spans="1:8" x14ac:dyDescent="0.25">
      <c r="A676" s="10">
        <v>659</v>
      </c>
      <c r="B676" t="s">
        <v>1258</v>
      </c>
      <c r="C676" s="2" t="s">
        <v>1058</v>
      </c>
      <c r="D676" s="1" t="s">
        <v>1297</v>
      </c>
      <c r="E676">
        <v>14022</v>
      </c>
      <c r="F676">
        <v>14200</v>
      </c>
      <c r="G676">
        <v>14500</v>
      </c>
      <c r="H676">
        <v>23370</v>
      </c>
    </row>
    <row r="677" spans="1:8" x14ac:dyDescent="0.25">
      <c r="A677" s="10">
        <v>660</v>
      </c>
      <c r="B677" t="s">
        <v>1259</v>
      </c>
      <c r="C677" s="2" t="s">
        <v>1059</v>
      </c>
      <c r="D677" s="1" t="s">
        <v>1297</v>
      </c>
      <c r="E677">
        <v>14022</v>
      </c>
      <c r="F677">
        <v>14200</v>
      </c>
      <c r="G677">
        <v>14500</v>
      </c>
      <c r="H677">
        <v>23370</v>
      </c>
    </row>
    <row r="678" spans="1:8" x14ac:dyDescent="0.25">
      <c r="A678" s="10">
        <v>661</v>
      </c>
      <c r="B678" t="s">
        <v>1260</v>
      </c>
      <c r="C678" s="2" t="s">
        <v>1060</v>
      </c>
      <c r="D678" s="1" t="s">
        <v>1297</v>
      </c>
      <c r="E678">
        <v>14022</v>
      </c>
      <c r="F678">
        <v>14200</v>
      </c>
      <c r="G678">
        <v>14500</v>
      </c>
      <c r="H678">
        <v>23370</v>
      </c>
    </row>
    <row r="679" spans="1:8" x14ac:dyDescent="0.25">
      <c r="A679" s="10">
        <v>662</v>
      </c>
      <c r="B679" t="s">
        <v>1261</v>
      </c>
      <c r="C679" s="2" t="s">
        <v>1061</v>
      </c>
      <c r="D679" s="1" t="s">
        <v>1297</v>
      </c>
      <c r="E679">
        <v>14022</v>
      </c>
      <c r="F679">
        <v>14200</v>
      </c>
      <c r="G679">
        <v>14500</v>
      </c>
      <c r="H679">
        <v>23370</v>
      </c>
    </row>
    <row r="680" spans="1:8" x14ac:dyDescent="0.25">
      <c r="A680" s="10">
        <v>663</v>
      </c>
      <c r="B680" t="s">
        <v>1262</v>
      </c>
      <c r="C680" s="2" t="s">
        <v>1062</v>
      </c>
      <c r="D680" s="1" t="s">
        <v>1297</v>
      </c>
      <c r="E680">
        <v>14022</v>
      </c>
      <c r="F680">
        <v>14200</v>
      </c>
      <c r="G680">
        <v>14500</v>
      </c>
      <c r="H680">
        <v>23370</v>
      </c>
    </row>
    <row r="681" spans="1:8" x14ac:dyDescent="0.25">
      <c r="A681" s="10">
        <v>664</v>
      </c>
      <c r="B681" t="s">
        <v>1263</v>
      </c>
      <c r="C681" s="2" t="s">
        <v>1063</v>
      </c>
      <c r="D681" s="1" t="s">
        <v>1297</v>
      </c>
      <c r="E681">
        <v>14022</v>
      </c>
      <c r="F681">
        <v>14200</v>
      </c>
      <c r="G681">
        <v>14500</v>
      </c>
      <c r="H681">
        <v>23370</v>
      </c>
    </row>
    <row r="682" spans="1:8" x14ac:dyDescent="0.25">
      <c r="A682" s="10">
        <v>665</v>
      </c>
      <c r="B682" t="s">
        <v>1264</v>
      </c>
      <c r="C682" s="2" t="s">
        <v>1064</v>
      </c>
      <c r="D682" s="1" t="s">
        <v>1297</v>
      </c>
      <c r="E682">
        <v>14022</v>
      </c>
      <c r="F682">
        <v>14200</v>
      </c>
      <c r="G682">
        <v>14500</v>
      </c>
      <c r="H682">
        <v>23370</v>
      </c>
    </row>
    <row r="683" spans="1:8" x14ac:dyDescent="0.25">
      <c r="A683" s="10">
        <v>666</v>
      </c>
      <c r="B683" t="s">
        <v>1265</v>
      </c>
      <c r="C683" s="2" t="s">
        <v>1065</v>
      </c>
      <c r="D683" s="1" t="s">
        <v>1297</v>
      </c>
      <c r="E683">
        <v>14022</v>
      </c>
      <c r="F683">
        <v>14200</v>
      </c>
      <c r="G683">
        <v>14500</v>
      </c>
      <c r="H683">
        <v>23370</v>
      </c>
    </row>
    <row r="684" spans="1:8" x14ac:dyDescent="0.25">
      <c r="A684" s="10">
        <v>667</v>
      </c>
      <c r="B684" t="s">
        <v>1266</v>
      </c>
      <c r="C684" s="2" t="s">
        <v>1066</v>
      </c>
      <c r="D684" s="1" t="s">
        <v>1297</v>
      </c>
      <c r="E684">
        <v>14022</v>
      </c>
      <c r="F684">
        <v>14200</v>
      </c>
      <c r="G684">
        <v>14500</v>
      </c>
      <c r="H684">
        <v>23370</v>
      </c>
    </row>
    <row r="685" spans="1:8" x14ac:dyDescent="0.25">
      <c r="A685" s="10">
        <v>668</v>
      </c>
      <c r="B685" t="s">
        <v>1267</v>
      </c>
      <c r="C685" s="2" t="s">
        <v>1067</v>
      </c>
      <c r="D685" s="1" t="s">
        <v>1297</v>
      </c>
      <c r="E685">
        <v>14022</v>
      </c>
      <c r="F685">
        <v>14200</v>
      </c>
      <c r="G685">
        <v>14500</v>
      </c>
      <c r="H685">
        <v>23370</v>
      </c>
    </row>
    <row r="686" spans="1:8" x14ac:dyDescent="0.25">
      <c r="A686" s="10">
        <v>669</v>
      </c>
      <c r="B686" t="s">
        <v>1268</v>
      </c>
      <c r="C686" s="2" t="s">
        <v>1068</v>
      </c>
      <c r="D686" s="1" t="s">
        <v>1297</v>
      </c>
      <c r="E686">
        <v>14022</v>
      </c>
      <c r="F686">
        <v>14200</v>
      </c>
      <c r="G686">
        <v>14500</v>
      </c>
      <c r="H686">
        <v>23370</v>
      </c>
    </row>
    <row r="687" spans="1:8" x14ac:dyDescent="0.25">
      <c r="A687" s="10">
        <v>670</v>
      </c>
      <c r="B687" t="s">
        <v>1269</v>
      </c>
      <c r="C687" s="2" t="s">
        <v>1069</v>
      </c>
      <c r="D687" s="1" t="s">
        <v>1297</v>
      </c>
      <c r="E687">
        <v>14022</v>
      </c>
      <c r="F687">
        <v>14200</v>
      </c>
      <c r="G687">
        <v>14500</v>
      </c>
      <c r="H687">
        <v>23370</v>
      </c>
    </row>
    <row r="688" spans="1:8" x14ac:dyDescent="0.25">
      <c r="A688" s="10">
        <v>671</v>
      </c>
      <c r="B688" t="s">
        <v>1270</v>
      </c>
      <c r="C688" s="2" t="s">
        <v>1070</v>
      </c>
      <c r="D688" s="1" t="s">
        <v>1297</v>
      </c>
      <c r="E688">
        <v>14022</v>
      </c>
      <c r="F688">
        <v>14200</v>
      </c>
      <c r="G688">
        <v>14500</v>
      </c>
      <c r="H688">
        <v>23370</v>
      </c>
    </row>
    <row r="689" spans="1:8" x14ac:dyDescent="0.25">
      <c r="A689" s="10">
        <v>672</v>
      </c>
      <c r="B689" t="s">
        <v>1271</v>
      </c>
      <c r="C689" s="2" t="s">
        <v>1071</v>
      </c>
      <c r="D689" s="1" t="s">
        <v>1297</v>
      </c>
      <c r="E689">
        <v>14022</v>
      </c>
      <c r="F689">
        <v>14200</v>
      </c>
      <c r="G689">
        <v>14500</v>
      </c>
      <c r="H689">
        <v>23370</v>
      </c>
    </row>
    <row r="690" spans="1:8" x14ac:dyDescent="0.25">
      <c r="A690" s="10">
        <v>673</v>
      </c>
      <c r="B690" t="s">
        <v>1272</v>
      </c>
      <c r="C690" s="2" t="s">
        <v>1072</v>
      </c>
      <c r="D690" s="1" t="s">
        <v>1297</v>
      </c>
      <c r="E690">
        <v>14022</v>
      </c>
      <c r="F690">
        <v>14200</v>
      </c>
      <c r="G690">
        <v>14500</v>
      </c>
      <c r="H690">
        <v>23370</v>
      </c>
    </row>
    <row r="691" spans="1:8" x14ac:dyDescent="0.25">
      <c r="A691" s="10">
        <v>674</v>
      </c>
      <c r="B691" t="s">
        <v>1273</v>
      </c>
      <c r="C691" s="2" t="s">
        <v>1073</v>
      </c>
      <c r="D691" s="1" t="s">
        <v>1297</v>
      </c>
      <c r="E691">
        <v>14022</v>
      </c>
      <c r="F691">
        <v>14200</v>
      </c>
      <c r="G691">
        <v>14500</v>
      </c>
      <c r="H691">
        <v>23370</v>
      </c>
    </row>
    <row r="692" spans="1:8" x14ac:dyDescent="0.25">
      <c r="A692" s="10">
        <v>675</v>
      </c>
      <c r="B692" t="s">
        <v>1274</v>
      </c>
      <c r="C692" s="2" t="s">
        <v>1074</v>
      </c>
      <c r="D692" s="1" t="s">
        <v>1297</v>
      </c>
      <c r="E692">
        <v>14022</v>
      </c>
      <c r="F692">
        <v>14200</v>
      </c>
      <c r="G692">
        <v>14500</v>
      </c>
      <c r="H692">
        <v>23370</v>
      </c>
    </row>
    <row r="693" spans="1:8" x14ac:dyDescent="0.25">
      <c r="A693" s="10">
        <v>676</v>
      </c>
      <c r="B693" t="s">
        <v>1275</v>
      </c>
      <c r="C693" s="2" t="s">
        <v>1075</v>
      </c>
      <c r="D693" s="1" t="s">
        <v>1297</v>
      </c>
      <c r="E693">
        <v>14022</v>
      </c>
      <c r="F693">
        <v>14200</v>
      </c>
      <c r="G693">
        <v>14500</v>
      </c>
      <c r="H693">
        <v>23370</v>
      </c>
    </row>
    <row r="694" spans="1:8" x14ac:dyDescent="0.25">
      <c r="A694" s="10">
        <v>677</v>
      </c>
      <c r="B694" t="s">
        <v>1276</v>
      </c>
      <c r="C694" s="2" t="s">
        <v>1076</v>
      </c>
      <c r="D694" s="1" t="s">
        <v>1297</v>
      </c>
      <c r="E694">
        <v>14022</v>
      </c>
      <c r="F694">
        <v>14200</v>
      </c>
      <c r="G694">
        <v>14500</v>
      </c>
      <c r="H694">
        <v>23370</v>
      </c>
    </row>
    <row r="695" spans="1:8" x14ac:dyDescent="0.25">
      <c r="A695" s="10">
        <v>678</v>
      </c>
      <c r="B695" t="s">
        <v>1277</v>
      </c>
      <c r="C695" s="2" t="s">
        <v>1077</v>
      </c>
      <c r="D695" s="1" t="s">
        <v>1297</v>
      </c>
      <c r="E695">
        <v>14022</v>
      </c>
      <c r="F695">
        <v>14200</v>
      </c>
      <c r="G695">
        <v>14500</v>
      </c>
      <c r="H695">
        <v>23370</v>
      </c>
    </row>
    <row r="696" spans="1:8" x14ac:dyDescent="0.25">
      <c r="A696" s="10">
        <v>679</v>
      </c>
      <c r="B696" t="s">
        <v>1278</v>
      </c>
      <c r="C696" s="2" t="s">
        <v>1078</v>
      </c>
      <c r="D696" s="1" t="s">
        <v>1297</v>
      </c>
      <c r="E696">
        <v>14022</v>
      </c>
      <c r="F696">
        <v>14200</v>
      </c>
      <c r="G696">
        <v>14500</v>
      </c>
      <c r="H696">
        <v>23370</v>
      </c>
    </row>
    <row r="697" spans="1:8" x14ac:dyDescent="0.25">
      <c r="A697" s="10">
        <v>680</v>
      </c>
      <c r="B697" t="s">
        <v>1279</v>
      </c>
      <c r="C697" s="2" t="s">
        <v>1079</v>
      </c>
      <c r="D697" s="1" t="s">
        <v>1297</v>
      </c>
      <c r="E697">
        <v>14022</v>
      </c>
      <c r="F697">
        <v>14200</v>
      </c>
      <c r="G697">
        <v>14500</v>
      </c>
      <c r="H697">
        <v>23370</v>
      </c>
    </row>
    <row r="698" spans="1:8" x14ac:dyDescent="0.25">
      <c r="A698" s="10">
        <v>681</v>
      </c>
      <c r="B698" t="s">
        <v>1280</v>
      </c>
      <c r="C698" s="2" t="s">
        <v>1080</v>
      </c>
      <c r="D698" s="1" t="s">
        <v>1297</v>
      </c>
      <c r="E698">
        <v>14022</v>
      </c>
      <c r="F698">
        <v>14200</v>
      </c>
      <c r="G698">
        <v>14500</v>
      </c>
      <c r="H698">
        <v>23370</v>
      </c>
    </row>
    <row r="699" spans="1:8" x14ac:dyDescent="0.25">
      <c r="A699" s="10">
        <v>682</v>
      </c>
      <c r="B699" t="s">
        <v>1281</v>
      </c>
      <c r="C699" s="2" t="s">
        <v>1081</v>
      </c>
      <c r="D699" s="1" t="s">
        <v>1297</v>
      </c>
      <c r="E699">
        <v>14022</v>
      </c>
      <c r="F699">
        <v>14200</v>
      </c>
      <c r="G699">
        <v>14500</v>
      </c>
      <c r="H699">
        <v>23370</v>
      </c>
    </row>
    <row r="700" spans="1:8" x14ac:dyDescent="0.25">
      <c r="A700" s="10">
        <v>683</v>
      </c>
      <c r="B700" t="s">
        <v>1282</v>
      </c>
      <c r="C700" s="2" t="s">
        <v>1082</v>
      </c>
      <c r="D700" s="1" t="s">
        <v>1297</v>
      </c>
      <c r="E700">
        <v>14022</v>
      </c>
      <c r="F700">
        <v>14200</v>
      </c>
      <c r="G700">
        <v>14500</v>
      </c>
      <c r="H700">
        <v>23370</v>
      </c>
    </row>
    <row r="701" spans="1:8" x14ac:dyDescent="0.25">
      <c r="A701" s="10">
        <v>684</v>
      </c>
      <c r="B701" t="s">
        <v>1283</v>
      </c>
      <c r="C701" s="2" t="s">
        <v>1083</v>
      </c>
      <c r="D701" s="1" t="s">
        <v>1297</v>
      </c>
      <c r="E701">
        <v>14022</v>
      </c>
      <c r="F701">
        <v>14200</v>
      </c>
      <c r="G701">
        <v>14500</v>
      </c>
      <c r="H701">
        <v>23370</v>
      </c>
    </row>
    <row r="702" spans="1:8" x14ac:dyDescent="0.25">
      <c r="A702" s="10">
        <v>685</v>
      </c>
      <c r="B702" t="s">
        <v>1284</v>
      </c>
      <c r="C702" s="2" t="s">
        <v>1084</v>
      </c>
      <c r="D702" s="1" t="s">
        <v>1297</v>
      </c>
      <c r="E702">
        <v>14022</v>
      </c>
      <c r="F702">
        <v>14200</v>
      </c>
      <c r="G702">
        <v>14500</v>
      </c>
      <c r="H702">
        <v>23370</v>
      </c>
    </row>
    <row r="703" spans="1:8" x14ac:dyDescent="0.25">
      <c r="A703" s="10">
        <v>686</v>
      </c>
      <c r="B703" t="s">
        <v>1285</v>
      </c>
      <c r="C703" s="2" t="s">
        <v>1085</v>
      </c>
      <c r="D703" s="1" t="s">
        <v>1297</v>
      </c>
      <c r="E703">
        <v>14022</v>
      </c>
      <c r="F703">
        <v>14200</v>
      </c>
      <c r="G703">
        <v>14500</v>
      </c>
      <c r="H703">
        <v>23370</v>
      </c>
    </row>
    <row r="704" spans="1:8" x14ac:dyDescent="0.25">
      <c r="A704" s="10">
        <v>687</v>
      </c>
      <c r="B704" t="s">
        <v>1286</v>
      </c>
      <c r="C704" s="2" t="s">
        <v>1086</v>
      </c>
      <c r="D704" s="1" t="s">
        <v>1297</v>
      </c>
      <c r="E704">
        <v>14022</v>
      </c>
      <c r="F704">
        <v>14200</v>
      </c>
      <c r="G704">
        <v>14500</v>
      </c>
      <c r="H704">
        <v>23370</v>
      </c>
    </row>
    <row r="705" spans="1:8" x14ac:dyDescent="0.25">
      <c r="A705" s="10">
        <v>688</v>
      </c>
      <c r="B705" t="s">
        <v>1287</v>
      </c>
      <c r="C705" s="2" t="s">
        <v>1087</v>
      </c>
      <c r="D705" s="1" t="s">
        <v>1297</v>
      </c>
      <c r="E705">
        <v>14022</v>
      </c>
      <c r="F705">
        <v>14200</v>
      </c>
      <c r="G705">
        <v>14500</v>
      </c>
      <c r="H705">
        <v>23370</v>
      </c>
    </row>
    <row r="706" spans="1:8" x14ac:dyDescent="0.25">
      <c r="A706" s="10">
        <v>689</v>
      </c>
      <c r="B706" t="s">
        <v>1288</v>
      </c>
      <c r="C706" s="2" t="s">
        <v>1088</v>
      </c>
      <c r="D706" s="1" t="s">
        <v>1297</v>
      </c>
      <c r="E706">
        <v>14022</v>
      </c>
      <c r="F706">
        <v>14200</v>
      </c>
      <c r="G706">
        <v>14500</v>
      </c>
      <c r="H706">
        <v>23370</v>
      </c>
    </row>
    <row r="707" spans="1:8" x14ac:dyDescent="0.25">
      <c r="A707" s="10">
        <v>690</v>
      </c>
      <c r="B707" t="s">
        <v>1289</v>
      </c>
      <c r="C707" s="2" t="s">
        <v>1089</v>
      </c>
      <c r="D707" s="1" t="s">
        <v>1297</v>
      </c>
      <c r="E707">
        <v>14022</v>
      </c>
      <c r="F707">
        <v>14200</v>
      </c>
      <c r="G707">
        <v>14500</v>
      </c>
      <c r="H707">
        <v>23370</v>
      </c>
    </row>
    <row r="708" spans="1:8" x14ac:dyDescent="0.25">
      <c r="A708" s="10">
        <v>691</v>
      </c>
      <c r="B708" t="s">
        <v>1290</v>
      </c>
      <c r="C708" s="2" t="s">
        <v>1090</v>
      </c>
      <c r="D708" s="1" t="s">
        <v>1297</v>
      </c>
      <c r="E708">
        <v>14022</v>
      </c>
      <c r="F708">
        <v>14200</v>
      </c>
      <c r="G708">
        <v>14500</v>
      </c>
      <c r="H708">
        <v>23370</v>
      </c>
    </row>
    <row r="709" spans="1:8" x14ac:dyDescent="0.25">
      <c r="A709" s="10">
        <v>692</v>
      </c>
      <c r="B709" t="s">
        <v>1291</v>
      </c>
      <c r="C709" s="2" t="s">
        <v>1091</v>
      </c>
      <c r="D709" s="1" t="s">
        <v>1297</v>
      </c>
      <c r="E709">
        <v>14022</v>
      </c>
      <c r="F709">
        <v>14200</v>
      </c>
      <c r="G709">
        <v>14500</v>
      </c>
      <c r="H709">
        <v>23370</v>
      </c>
    </row>
    <row r="710" spans="1:8" x14ac:dyDescent="0.25">
      <c r="A710" s="10">
        <v>693</v>
      </c>
      <c r="B710" t="s">
        <v>1292</v>
      </c>
      <c r="C710" s="2" t="s">
        <v>1092</v>
      </c>
      <c r="D710" s="1" t="s">
        <v>1297</v>
      </c>
      <c r="E710">
        <v>14022</v>
      </c>
      <c r="F710">
        <v>14200</v>
      </c>
      <c r="G710">
        <v>14500</v>
      </c>
      <c r="H710">
        <v>23370</v>
      </c>
    </row>
    <row r="711" spans="1:8" x14ac:dyDescent="0.25">
      <c r="A711" s="10">
        <v>694</v>
      </c>
      <c r="B711" t="s">
        <v>1293</v>
      </c>
      <c r="C711" s="2" t="s">
        <v>1093</v>
      </c>
      <c r="D711" s="1" t="s">
        <v>1297</v>
      </c>
      <c r="E711">
        <v>14022</v>
      </c>
      <c r="F711">
        <v>14200</v>
      </c>
      <c r="G711">
        <v>14500</v>
      </c>
      <c r="H711">
        <v>23370</v>
      </c>
    </row>
    <row r="712" spans="1:8" x14ac:dyDescent="0.25">
      <c r="A712" s="10">
        <v>695</v>
      </c>
      <c r="B712" t="s">
        <v>1294</v>
      </c>
      <c r="C712" s="2" t="s">
        <v>1094</v>
      </c>
      <c r="D712" s="1" t="s">
        <v>1297</v>
      </c>
      <c r="E712">
        <v>14022</v>
      </c>
      <c r="F712">
        <v>14200</v>
      </c>
      <c r="G712">
        <v>14500</v>
      </c>
      <c r="H712">
        <v>23370</v>
      </c>
    </row>
    <row r="713" spans="1:8" x14ac:dyDescent="0.25">
      <c r="C713" s="5"/>
    </row>
    <row r="714" spans="1:8" x14ac:dyDescent="0.25">
      <c r="A714" s="10">
        <v>696</v>
      </c>
      <c r="B714" t="s">
        <v>1195</v>
      </c>
      <c r="C714" s="2" t="s">
        <v>1095</v>
      </c>
      <c r="D714" s="1" t="s">
        <v>1298</v>
      </c>
      <c r="E714">
        <v>25850</v>
      </c>
      <c r="F714">
        <v>26000</v>
      </c>
      <c r="G714">
        <v>26500</v>
      </c>
      <c r="H714">
        <v>43090</v>
      </c>
    </row>
    <row r="715" spans="1:8" x14ac:dyDescent="0.25">
      <c r="A715" s="10">
        <v>697</v>
      </c>
      <c r="B715" t="s">
        <v>1196</v>
      </c>
      <c r="C715" s="2" t="s">
        <v>1096</v>
      </c>
      <c r="D715" s="1" t="s">
        <v>1298</v>
      </c>
      <c r="E715">
        <v>25850</v>
      </c>
      <c r="F715">
        <v>26000</v>
      </c>
      <c r="G715">
        <v>26500</v>
      </c>
      <c r="H715">
        <v>43090</v>
      </c>
    </row>
    <row r="716" spans="1:8" x14ac:dyDescent="0.25">
      <c r="A716" s="10">
        <v>698</v>
      </c>
      <c r="B716" t="s">
        <v>1197</v>
      </c>
      <c r="C716" s="2" t="s">
        <v>1097</v>
      </c>
      <c r="D716" s="1" t="s">
        <v>1298</v>
      </c>
      <c r="E716">
        <v>25850</v>
      </c>
      <c r="F716">
        <v>26000</v>
      </c>
      <c r="G716">
        <v>26500</v>
      </c>
      <c r="H716">
        <v>43090</v>
      </c>
    </row>
    <row r="717" spans="1:8" x14ac:dyDescent="0.25">
      <c r="A717" s="10">
        <v>699</v>
      </c>
      <c r="B717" t="s">
        <v>1198</v>
      </c>
      <c r="C717" s="2" t="s">
        <v>1098</v>
      </c>
      <c r="D717" s="1" t="s">
        <v>1298</v>
      </c>
      <c r="E717">
        <v>25850</v>
      </c>
      <c r="F717">
        <v>26000</v>
      </c>
      <c r="G717">
        <v>26500</v>
      </c>
      <c r="H717">
        <v>43090</v>
      </c>
    </row>
    <row r="718" spans="1:8" x14ac:dyDescent="0.25">
      <c r="A718" s="10">
        <v>700</v>
      </c>
      <c r="B718" t="s">
        <v>1199</v>
      </c>
      <c r="C718" s="2" t="s">
        <v>1099</v>
      </c>
      <c r="D718" s="1" t="s">
        <v>1298</v>
      </c>
      <c r="E718">
        <v>25850</v>
      </c>
      <c r="F718">
        <v>26000</v>
      </c>
      <c r="G718">
        <v>26500</v>
      </c>
      <c r="H718">
        <v>43090</v>
      </c>
    </row>
    <row r="719" spans="1:8" x14ac:dyDescent="0.25">
      <c r="A719" s="10">
        <v>701</v>
      </c>
      <c r="B719" t="s">
        <v>1200</v>
      </c>
      <c r="C719" s="2" t="s">
        <v>1100</v>
      </c>
      <c r="D719" s="1" t="s">
        <v>1298</v>
      </c>
      <c r="E719">
        <v>25850</v>
      </c>
      <c r="F719">
        <v>26000</v>
      </c>
      <c r="G719">
        <v>26500</v>
      </c>
      <c r="H719">
        <v>43090</v>
      </c>
    </row>
    <row r="720" spans="1:8" x14ac:dyDescent="0.25">
      <c r="A720" s="10">
        <v>702</v>
      </c>
      <c r="B720" t="s">
        <v>1201</v>
      </c>
      <c r="C720" s="2" t="s">
        <v>1101</v>
      </c>
      <c r="D720" s="1" t="s">
        <v>1298</v>
      </c>
      <c r="E720">
        <v>25850</v>
      </c>
      <c r="F720">
        <v>26000</v>
      </c>
      <c r="G720">
        <v>26500</v>
      </c>
      <c r="H720">
        <v>43090</v>
      </c>
    </row>
    <row r="721" spans="1:8" x14ac:dyDescent="0.25">
      <c r="A721" s="10">
        <v>703</v>
      </c>
      <c r="B721" t="s">
        <v>1202</v>
      </c>
      <c r="C721" s="2" t="s">
        <v>1102</v>
      </c>
      <c r="D721" s="1" t="s">
        <v>1298</v>
      </c>
      <c r="E721">
        <v>25850</v>
      </c>
      <c r="F721">
        <v>26000</v>
      </c>
      <c r="G721">
        <v>26500</v>
      </c>
      <c r="H721">
        <v>43090</v>
      </c>
    </row>
    <row r="722" spans="1:8" x14ac:dyDescent="0.25">
      <c r="A722" s="10">
        <v>704</v>
      </c>
      <c r="B722" t="s">
        <v>1203</v>
      </c>
      <c r="C722" s="2" t="s">
        <v>1103</v>
      </c>
      <c r="D722" s="1" t="s">
        <v>1298</v>
      </c>
      <c r="E722">
        <v>25850</v>
      </c>
      <c r="F722">
        <v>26000</v>
      </c>
      <c r="G722">
        <v>26500</v>
      </c>
      <c r="H722">
        <v>43090</v>
      </c>
    </row>
    <row r="723" spans="1:8" x14ac:dyDescent="0.25">
      <c r="A723" s="10">
        <v>705</v>
      </c>
      <c r="B723" t="s">
        <v>1204</v>
      </c>
      <c r="C723" s="2" t="s">
        <v>1104</v>
      </c>
      <c r="D723" s="1" t="s">
        <v>1298</v>
      </c>
      <c r="E723">
        <v>25850</v>
      </c>
      <c r="F723">
        <v>26000</v>
      </c>
      <c r="G723">
        <v>26500</v>
      </c>
      <c r="H723">
        <v>43090</v>
      </c>
    </row>
    <row r="724" spans="1:8" x14ac:dyDescent="0.25">
      <c r="A724" s="10">
        <v>706</v>
      </c>
      <c r="B724" t="s">
        <v>1205</v>
      </c>
      <c r="C724" s="2" t="s">
        <v>1105</v>
      </c>
      <c r="D724" s="1" t="s">
        <v>1298</v>
      </c>
      <c r="E724">
        <v>25850</v>
      </c>
      <c r="F724">
        <v>26000</v>
      </c>
      <c r="G724">
        <v>26500</v>
      </c>
      <c r="H724">
        <v>43090</v>
      </c>
    </row>
    <row r="725" spans="1:8" x14ac:dyDescent="0.25">
      <c r="A725" s="10">
        <v>707</v>
      </c>
      <c r="B725" t="s">
        <v>1206</v>
      </c>
      <c r="C725" s="2" t="s">
        <v>1106</v>
      </c>
      <c r="D725" s="1" t="s">
        <v>1298</v>
      </c>
      <c r="E725">
        <v>25850</v>
      </c>
      <c r="F725">
        <v>26000</v>
      </c>
      <c r="G725">
        <v>26500</v>
      </c>
      <c r="H725">
        <v>43090</v>
      </c>
    </row>
    <row r="726" spans="1:8" x14ac:dyDescent="0.25">
      <c r="A726" s="10">
        <v>708</v>
      </c>
      <c r="B726" t="s">
        <v>1207</v>
      </c>
      <c r="C726" s="2" t="s">
        <v>1107</v>
      </c>
      <c r="D726" s="1" t="s">
        <v>1298</v>
      </c>
      <c r="E726">
        <v>25850</v>
      </c>
      <c r="F726">
        <v>26000</v>
      </c>
      <c r="G726">
        <v>26500</v>
      </c>
      <c r="H726">
        <v>43090</v>
      </c>
    </row>
    <row r="727" spans="1:8" x14ac:dyDescent="0.25">
      <c r="A727" s="10">
        <v>709</v>
      </c>
      <c r="B727" t="s">
        <v>1208</v>
      </c>
      <c r="C727" s="2" t="s">
        <v>1108</v>
      </c>
      <c r="D727" s="1" t="s">
        <v>1298</v>
      </c>
      <c r="E727">
        <v>25850</v>
      </c>
      <c r="F727">
        <v>26000</v>
      </c>
      <c r="G727">
        <v>26500</v>
      </c>
      <c r="H727">
        <v>43090</v>
      </c>
    </row>
    <row r="728" spans="1:8" x14ac:dyDescent="0.25">
      <c r="A728" s="10">
        <v>710</v>
      </c>
      <c r="B728" t="s">
        <v>1209</v>
      </c>
      <c r="C728" s="2" t="s">
        <v>1109</v>
      </c>
      <c r="D728" s="1" t="s">
        <v>1298</v>
      </c>
      <c r="E728">
        <v>25850</v>
      </c>
      <c r="F728">
        <v>26000</v>
      </c>
      <c r="G728">
        <v>26500</v>
      </c>
      <c r="H728">
        <v>43090</v>
      </c>
    </row>
    <row r="729" spans="1:8" x14ac:dyDescent="0.25">
      <c r="A729" s="10">
        <v>711</v>
      </c>
      <c r="B729" t="s">
        <v>1210</v>
      </c>
      <c r="C729" s="2" t="s">
        <v>1110</v>
      </c>
      <c r="D729" s="1" t="s">
        <v>1298</v>
      </c>
      <c r="E729">
        <v>25850</v>
      </c>
      <c r="F729">
        <v>26000</v>
      </c>
      <c r="G729">
        <v>26500</v>
      </c>
      <c r="H729">
        <v>43090</v>
      </c>
    </row>
    <row r="730" spans="1:8" x14ac:dyDescent="0.25">
      <c r="A730" s="10">
        <v>712</v>
      </c>
      <c r="B730" t="s">
        <v>1211</v>
      </c>
      <c r="C730" s="2" t="s">
        <v>1111</v>
      </c>
      <c r="D730" s="1" t="s">
        <v>1298</v>
      </c>
      <c r="E730">
        <v>25850</v>
      </c>
      <c r="F730">
        <v>26000</v>
      </c>
      <c r="G730">
        <v>26500</v>
      </c>
      <c r="H730">
        <v>43090</v>
      </c>
    </row>
    <row r="731" spans="1:8" x14ac:dyDescent="0.25">
      <c r="A731" s="10">
        <v>713</v>
      </c>
      <c r="B731" t="s">
        <v>1212</v>
      </c>
      <c r="C731" s="2" t="s">
        <v>1112</v>
      </c>
      <c r="D731" s="1" t="s">
        <v>1298</v>
      </c>
      <c r="E731">
        <v>25850</v>
      </c>
      <c r="F731">
        <v>26000</v>
      </c>
      <c r="G731">
        <v>26500</v>
      </c>
      <c r="H731">
        <v>43090</v>
      </c>
    </row>
    <row r="732" spans="1:8" x14ac:dyDescent="0.25">
      <c r="A732" s="10">
        <v>714</v>
      </c>
      <c r="B732" t="s">
        <v>1213</v>
      </c>
      <c r="C732" s="2" t="s">
        <v>1113</v>
      </c>
      <c r="D732" s="1" t="s">
        <v>1298</v>
      </c>
      <c r="E732">
        <v>25850</v>
      </c>
      <c r="F732">
        <v>26000</v>
      </c>
      <c r="G732">
        <v>26500</v>
      </c>
      <c r="H732">
        <v>43090</v>
      </c>
    </row>
    <row r="733" spans="1:8" x14ac:dyDescent="0.25">
      <c r="A733" s="10">
        <v>715</v>
      </c>
      <c r="B733" t="s">
        <v>1214</v>
      </c>
      <c r="C733" s="2" t="s">
        <v>1114</v>
      </c>
      <c r="D733" s="1" t="s">
        <v>1298</v>
      </c>
      <c r="E733">
        <v>25850</v>
      </c>
      <c r="F733">
        <v>26000</v>
      </c>
      <c r="G733">
        <v>26500</v>
      </c>
      <c r="H733">
        <v>43090</v>
      </c>
    </row>
    <row r="734" spans="1:8" x14ac:dyDescent="0.25">
      <c r="A734" s="10">
        <v>716</v>
      </c>
      <c r="B734" t="s">
        <v>1215</v>
      </c>
      <c r="C734" s="2" t="s">
        <v>1115</v>
      </c>
      <c r="D734" s="1" t="s">
        <v>1298</v>
      </c>
      <c r="E734">
        <v>25850</v>
      </c>
      <c r="F734">
        <v>26000</v>
      </c>
      <c r="G734">
        <v>26500</v>
      </c>
      <c r="H734">
        <v>43090</v>
      </c>
    </row>
    <row r="735" spans="1:8" x14ac:dyDescent="0.25">
      <c r="A735" s="10">
        <v>717</v>
      </c>
      <c r="B735" t="s">
        <v>1216</v>
      </c>
      <c r="C735" s="2" t="s">
        <v>1116</v>
      </c>
      <c r="D735" s="1" t="s">
        <v>1298</v>
      </c>
      <c r="E735">
        <v>25850</v>
      </c>
      <c r="F735">
        <v>26000</v>
      </c>
      <c r="G735">
        <v>26500</v>
      </c>
      <c r="H735">
        <v>43090</v>
      </c>
    </row>
    <row r="736" spans="1:8" x14ac:dyDescent="0.25">
      <c r="A736" s="10">
        <v>718</v>
      </c>
      <c r="B736" t="s">
        <v>1217</v>
      </c>
      <c r="C736" s="2" t="s">
        <v>1117</v>
      </c>
      <c r="D736" s="1" t="s">
        <v>1298</v>
      </c>
      <c r="E736">
        <v>25850</v>
      </c>
      <c r="F736">
        <v>26000</v>
      </c>
      <c r="G736">
        <v>26500</v>
      </c>
      <c r="H736">
        <v>43090</v>
      </c>
    </row>
    <row r="737" spans="1:8" x14ac:dyDescent="0.25">
      <c r="A737" s="10">
        <v>719</v>
      </c>
      <c r="B737" t="s">
        <v>1218</v>
      </c>
      <c r="C737" s="2" t="s">
        <v>1118</v>
      </c>
      <c r="D737" s="1" t="s">
        <v>1298</v>
      </c>
      <c r="E737">
        <v>25850</v>
      </c>
      <c r="F737">
        <v>26000</v>
      </c>
      <c r="G737">
        <v>26500</v>
      </c>
      <c r="H737">
        <v>43090</v>
      </c>
    </row>
    <row r="738" spans="1:8" x14ac:dyDescent="0.25">
      <c r="A738" s="10">
        <v>720</v>
      </c>
      <c r="B738" t="s">
        <v>1219</v>
      </c>
      <c r="C738" s="2" t="s">
        <v>1119</v>
      </c>
      <c r="D738" s="1" t="s">
        <v>1298</v>
      </c>
      <c r="E738">
        <v>25850</v>
      </c>
      <c r="F738">
        <v>26000</v>
      </c>
      <c r="G738">
        <v>26500</v>
      </c>
      <c r="H738">
        <v>43090</v>
      </c>
    </row>
    <row r="739" spans="1:8" x14ac:dyDescent="0.25">
      <c r="A739" s="10">
        <v>721</v>
      </c>
      <c r="B739" t="s">
        <v>1220</v>
      </c>
      <c r="C739" s="2" t="s">
        <v>1120</v>
      </c>
      <c r="D739" s="1" t="s">
        <v>1298</v>
      </c>
      <c r="E739">
        <v>25850</v>
      </c>
      <c r="F739">
        <v>26000</v>
      </c>
      <c r="G739">
        <v>26500</v>
      </c>
      <c r="H739">
        <v>43090</v>
      </c>
    </row>
    <row r="740" spans="1:8" x14ac:dyDescent="0.25">
      <c r="A740" s="10">
        <v>722</v>
      </c>
      <c r="B740" t="s">
        <v>1221</v>
      </c>
      <c r="C740" s="2" t="s">
        <v>1121</v>
      </c>
      <c r="D740" s="1" t="s">
        <v>1298</v>
      </c>
      <c r="E740">
        <v>25850</v>
      </c>
      <c r="F740">
        <v>26000</v>
      </c>
      <c r="G740">
        <v>26500</v>
      </c>
      <c r="H740">
        <v>43090</v>
      </c>
    </row>
    <row r="741" spans="1:8" x14ac:dyDescent="0.25">
      <c r="A741" s="10">
        <v>723</v>
      </c>
      <c r="B741" t="s">
        <v>1222</v>
      </c>
      <c r="C741" s="2" t="s">
        <v>1122</v>
      </c>
      <c r="D741" s="1" t="s">
        <v>1298</v>
      </c>
      <c r="E741">
        <v>25850</v>
      </c>
      <c r="F741">
        <v>26000</v>
      </c>
      <c r="G741">
        <v>26500</v>
      </c>
      <c r="H741">
        <v>43090</v>
      </c>
    </row>
    <row r="742" spans="1:8" x14ac:dyDescent="0.25">
      <c r="A742" s="10">
        <v>724</v>
      </c>
      <c r="B742" t="s">
        <v>1223</v>
      </c>
      <c r="C742" s="2" t="s">
        <v>1123</v>
      </c>
      <c r="D742" s="1" t="s">
        <v>1298</v>
      </c>
      <c r="E742">
        <v>25850</v>
      </c>
      <c r="F742">
        <v>26000</v>
      </c>
      <c r="G742">
        <v>26500</v>
      </c>
      <c r="H742">
        <v>43090</v>
      </c>
    </row>
    <row r="743" spans="1:8" x14ac:dyDescent="0.25">
      <c r="A743" s="10">
        <v>725</v>
      </c>
      <c r="B743" t="s">
        <v>1224</v>
      </c>
      <c r="C743" s="2" t="s">
        <v>1124</v>
      </c>
      <c r="D743" s="1" t="s">
        <v>1298</v>
      </c>
      <c r="E743">
        <v>25850</v>
      </c>
      <c r="F743">
        <v>26000</v>
      </c>
      <c r="G743">
        <v>26500</v>
      </c>
      <c r="H743">
        <v>43090</v>
      </c>
    </row>
    <row r="744" spans="1:8" x14ac:dyDescent="0.25">
      <c r="A744" s="10">
        <v>726</v>
      </c>
      <c r="B744" t="s">
        <v>1225</v>
      </c>
      <c r="C744" s="2" t="s">
        <v>1125</v>
      </c>
      <c r="D744" s="1" t="s">
        <v>1298</v>
      </c>
      <c r="E744">
        <v>25850</v>
      </c>
      <c r="F744">
        <v>26000</v>
      </c>
      <c r="G744">
        <v>26500</v>
      </c>
      <c r="H744">
        <v>43090</v>
      </c>
    </row>
    <row r="745" spans="1:8" x14ac:dyDescent="0.25">
      <c r="A745" s="10">
        <v>727</v>
      </c>
      <c r="B745" t="s">
        <v>1226</v>
      </c>
      <c r="C745" s="2" t="s">
        <v>1126</v>
      </c>
      <c r="D745" s="1" t="s">
        <v>1298</v>
      </c>
      <c r="E745">
        <v>25850</v>
      </c>
      <c r="F745">
        <v>26000</v>
      </c>
      <c r="G745">
        <v>26500</v>
      </c>
      <c r="H745">
        <v>43090</v>
      </c>
    </row>
    <row r="746" spans="1:8" x14ac:dyDescent="0.25">
      <c r="A746" s="10">
        <v>728</v>
      </c>
      <c r="B746" t="s">
        <v>1227</v>
      </c>
      <c r="C746" s="2" t="s">
        <v>1127</v>
      </c>
      <c r="D746" s="1" t="s">
        <v>1298</v>
      </c>
      <c r="E746">
        <v>25850</v>
      </c>
      <c r="F746">
        <v>26000</v>
      </c>
      <c r="G746">
        <v>26500</v>
      </c>
      <c r="H746">
        <v>43090</v>
      </c>
    </row>
    <row r="747" spans="1:8" x14ac:dyDescent="0.25">
      <c r="A747" s="10">
        <v>729</v>
      </c>
      <c r="B747" t="s">
        <v>1228</v>
      </c>
      <c r="C747" s="2" t="s">
        <v>1128</v>
      </c>
      <c r="D747" s="1" t="s">
        <v>1298</v>
      </c>
      <c r="E747">
        <v>25850</v>
      </c>
      <c r="F747">
        <v>26000</v>
      </c>
      <c r="G747">
        <v>26500</v>
      </c>
      <c r="H747">
        <v>43090</v>
      </c>
    </row>
    <row r="748" spans="1:8" x14ac:dyDescent="0.25">
      <c r="A748" s="10">
        <v>730</v>
      </c>
      <c r="B748" t="s">
        <v>1229</v>
      </c>
      <c r="C748" s="2" t="s">
        <v>1129</v>
      </c>
      <c r="D748" s="1" t="s">
        <v>1298</v>
      </c>
      <c r="E748">
        <v>25850</v>
      </c>
      <c r="F748">
        <v>26000</v>
      </c>
      <c r="G748">
        <v>26500</v>
      </c>
      <c r="H748">
        <v>43090</v>
      </c>
    </row>
    <row r="749" spans="1:8" x14ac:dyDescent="0.25">
      <c r="A749" s="10">
        <v>731</v>
      </c>
      <c r="B749" t="s">
        <v>1230</v>
      </c>
      <c r="C749" s="2" t="s">
        <v>1130</v>
      </c>
      <c r="D749" s="1" t="s">
        <v>1298</v>
      </c>
      <c r="E749">
        <v>25850</v>
      </c>
      <c r="F749">
        <v>26000</v>
      </c>
      <c r="G749">
        <v>26500</v>
      </c>
      <c r="H749">
        <v>43090</v>
      </c>
    </row>
    <row r="750" spans="1:8" x14ac:dyDescent="0.25">
      <c r="A750" s="10">
        <v>732</v>
      </c>
      <c r="B750" t="s">
        <v>1231</v>
      </c>
      <c r="C750" s="2" t="s">
        <v>1131</v>
      </c>
      <c r="D750" s="1" t="s">
        <v>1298</v>
      </c>
      <c r="E750">
        <v>25850</v>
      </c>
      <c r="F750">
        <v>26000</v>
      </c>
      <c r="G750">
        <v>26500</v>
      </c>
      <c r="H750">
        <v>43090</v>
      </c>
    </row>
    <row r="751" spans="1:8" x14ac:dyDescent="0.25">
      <c r="A751" s="10">
        <v>733</v>
      </c>
      <c r="B751" t="s">
        <v>1232</v>
      </c>
      <c r="C751" s="2" t="s">
        <v>1132</v>
      </c>
      <c r="D751" s="1" t="s">
        <v>1298</v>
      </c>
      <c r="E751">
        <v>25850</v>
      </c>
      <c r="F751">
        <v>26000</v>
      </c>
      <c r="G751">
        <v>26500</v>
      </c>
      <c r="H751">
        <v>43090</v>
      </c>
    </row>
    <row r="752" spans="1:8" x14ac:dyDescent="0.25">
      <c r="A752" s="10">
        <v>734</v>
      </c>
      <c r="B752" t="s">
        <v>1233</v>
      </c>
      <c r="C752" s="2" t="s">
        <v>1133</v>
      </c>
      <c r="D752" s="1" t="s">
        <v>1298</v>
      </c>
      <c r="E752">
        <v>25850</v>
      </c>
      <c r="F752">
        <v>26000</v>
      </c>
      <c r="G752">
        <v>26500</v>
      </c>
      <c r="H752">
        <v>43090</v>
      </c>
    </row>
    <row r="753" spans="1:8" x14ac:dyDescent="0.25">
      <c r="A753" s="10">
        <v>735</v>
      </c>
      <c r="B753" t="s">
        <v>1234</v>
      </c>
      <c r="C753" s="2" t="s">
        <v>1134</v>
      </c>
      <c r="D753" s="1" t="s">
        <v>1298</v>
      </c>
      <c r="E753">
        <v>25850</v>
      </c>
      <c r="F753">
        <v>26000</v>
      </c>
      <c r="G753">
        <v>26500</v>
      </c>
      <c r="H753">
        <v>43090</v>
      </c>
    </row>
    <row r="754" spans="1:8" x14ac:dyDescent="0.25">
      <c r="A754" s="10">
        <v>736</v>
      </c>
      <c r="B754" t="s">
        <v>1235</v>
      </c>
      <c r="C754" s="2" t="s">
        <v>1135</v>
      </c>
      <c r="D754" s="1" t="s">
        <v>1298</v>
      </c>
      <c r="E754">
        <v>25850</v>
      </c>
      <c r="F754">
        <v>26000</v>
      </c>
      <c r="G754">
        <v>26500</v>
      </c>
      <c r="H754">
        <v>43090</v>
      </c>
    </row>
    <row r="755" spans="1:8" x14ac:dyDescent="0.25">
      <c r="A755" s="10">
        <v>737</v>
      </c>
      <c r="B755" t="s">
        <v>1236</v>
      </c>
      <c r="C755" s="2" t="s">
        <v>1136</v>
      </c>
      <c r="D755" s="1" t="s">
        <v>1298</v>
      </c>
      <c r="E755">
        <v>25850</v>
      </c>
      <c r="F755">
        <v>26000</v>
      </c>
      <c r="G755">
        <v>26500</v>
      </c>
      <c r="H755">
        <v>43090</v>
      </c>
    </row>
    <row r="756" spans="1:8" x14ac:dyDescent="0.25">
      <c r="A756" s="10">
        <v>738</v>
      </c>
      <c r="B756" t="s">
        <v>1237</v>
      </c>
      <c r="C756" s="2" t="s">
        <v>1137</v>
      </c>
      <c r="D756" s="1" t="s">
        <v>1298</v>
      </c>
      <c r="E756">
        <v>25850</v>
      </c>
      <c r="F756">
        <v>26000</v>
      </c>
      <c r="G756">
        <v>26500</v>
      </c>
      <c r="H756">
        <v>43090</v>
      </c>
    </row>
    <row r="757" spans="1:8" x14ac:dyDescent="0.25">
      <c r="A757" s="10">
        <v>739</v>
      </c>
      <c r="B757" t="s">
        <v>1238</v>
      </c>
      <c r="C757" s="2" t="s">
        <v>1138</v>
      </c>
      <c r="D757" s="1" t="s">
        <v>1298</v>
      </c>
      <c r="E757">
        <v>25850</v>
      </c>
      <c r="F757">
        <v>26000</v>
      </c>
      <c r="G757">
        <v>26500</v>
      </c>
      <c r="H757">
        <v>43090</v>
      </c>
    </row>
    <row r="758" spans="1:8" x14ac:dyDescent="0.25">
      <c r="A758" s="10">
        <v>740</v>
      </c>
      <c r="B758" t="s">
        <v>1239</v>
      </c>
      <c r="C758" s="2" t="s">
        <v>1139</v>
      </c>
      <c r="D758" s="1" t="s">
        <v>1298</v>
      </c>
      <c r="E758">
        <v>25850</v>
      </c>
      <c r="F758">
        <v>26000</v>
      </c>
      <c r="G758">
        <v>26500</v>
      </c>
      <c r="H758">
        <v>43090</v>
      </c>
    </row>
    <row r="759" spans="1:8" x14ac:dyDescent="0.25">
      <c r="A759" s="10">
        <v>741</v>
      </c>
      <c r="B759" t="s">
        <v>1240</v>
      </c>
      <c r="C759" s="2" t="s">
        <v>1140</v>
      </c>
      <c r="D759" s="1" t="s">
        <v>1298</v>
      </c>
      <c r="E759">
        <v>25850</v>
      </c>
      <c r="F759">
        <v>26000</v>
      </c>
      <c r="G759">
        <v>26500</v>
      </c>
      <c r="H759">
        <v>43090</v>
      </c>
    </row>
    <row r="760" spans="1:8" x14ac:dyDescent="0.25">
      <c r="A760" s="10">
        <v>742</v>
      </c>
      <c r="B760" t="s">
        <v>1241</v>
      </c>
      <c r="C760" s="2" t="s">
        <v>1141</v>
      </c>
      <c r="D760" s="1" t="s">
        <v>1298</v>
      </c>
      <c r="E760">
        <v>25850</v>
      </c>
      <c r="F760">
        <v>26000</v>
      </c>
      <c r="G760">
        <v>26500</v>
      </c>
      <c r="H760">
        <v>43090</v>
      </c>
    </row>
    <row r="761" spans="1:8" x14ac:dyDescent="0.25">
      <c r="A761" s="10">
        <v>743</v>
      </c>
      <c r="B761" t="s">
        <v>1242</v>
      </c>
      <c r="C761" s="2" t="s">
        <v>1142</v>
      </c>
      <c r="D761" s="1" t="s">
        <v>1298</v>
      </c>
      <c r="E761">
        <v>25850</v>
      </c>
      <c r="F761">
        <v>26000</v>
      </c>
      <c r="G761">
        <v>26500</v>
      </c>
      <c r="H761">
        <v>43090</v>
      </c>
    </row>
    <row r="762" spans="1:8" x14ac:dyDescent="0.25">
      <c r="A762" s="10">
        <v>744</v>
      </c>
      <c r="B762" t="s">
        <v>1243</v>
      </c>
      <c r="C762" s="2" t="s">
        <v>1143</v>
      </c>
      <c r="D762" s="1" t="s">
        <v>1298</v>
      </c>
      <c r="E762">
        <v>25850</v>
      </c>
      <c r="F762">
        <v>26000</v>
      </c>
      <c r="G762">
        <v>26500</v>
      </c>
      <c r="H762">
        <v>43090</v>
      </c>
    </row>
    <row r="763" spans="1:8" x14ac:dyDescent="0.25">
      <c r="A763" s="10">
        <v>745</v>
      </c>
      <c r="B763" t="s">
        <v>1244</v>
      </c>
      <c r="C763" s="2" t="s">
        <v>1144</v>
      </c>
      <c r="D763" s="1" t="s">
        <v>1298</v>
      </c>
      <c r="E763">
        <v>25850</v>
      </c>
      <c r="F763">
        <v>26000</v>
      </c>
      <c r="G763">
        <v>26500</v>
      </c>
      <c r="H763">
        <v>43090</v>
      </c>
    </row>
    <row r="764" spans="1:8" x14ac:dyDescent="0.25">
      <c r="A764" s="10">
        <v>746</v>
      </c>
      <c r="B764" t="s">
        <v>1245</v>
      </c>
      <c r="C764" s="2" t="s">
        <v>1145</v>
      </c>
      <c r="D764" s="1" t="s">
        <v>1298</v>
      </c>
      <c r="E764">
        <v>25850</v>
      </c>
      <c r="F764">
        <v>26000</v>
      </c>
      <c r="G764">
        <v>26500</v>
      </c>
      <c r="H764">
        <v>43090</v>
      </c>
    </row>
    <row r="765" spans="1:8" x14ac:dyDescent="0.25">
      <c r="A765" s="10">
        <v>747</v>
      </c>
      <c r="B765" t="s">
        <v>1246</v>
      </c>
      <c r="C765" s="2" t="s">
        <v>1146</v>
      </c>
      <c r="D765" s="1" t="s">
        <v>1298</v>
      </c>
      <c r="E765">
        <v>25850</v>
      </c>
      <c r="F765">
        <v>26000</v>
      </c>
      <c r="G765">
        <v>26500</v>
      </c>
      <c r="H765">
        <v>43090</v>
      </c>
    </row>
    <row r="766" spans="1:8" x14ac:dyDescent="0.25">
      <c r="A766" s="10">
        <v>748</v>
      </c>
      <c r="B766" t="s">
        <v>1247</v>
      </c>
      <c r="C766" s="2" t="s">
        <v>1147</v>
      </c>
      <c r="D766" s="1" t="s">
        <v>1298</v>
      </c>
      <c r="E766">
        <v>25850</v>
      </c>
      <c r="F766">
        <v>26000</v>
      </c>
      <c r="G766">
        <v>26500</v>
      </c>
      <c r="H766">
        <v>43090</v>
      </c>
    </row>
    <row r="767" spans="1:8" x14ac:dyDescent="0.25">
      <c r="A767" s="10">
        <v>749</v>
      </c>
      <c r="B767" t="s">
        <v>1248</v>
      </c>
      <c r="C767" s="2" t="s">
        <v>1148</v>
      </c>
      <c r="D767" s="1" t="s">
        <v>1298</v>
      </c>
      <c r="E767">
        <v>25850</v>
      </c>
      <c r="F767">
        <v>26000</v>
      </c>
      <c r="G767">
        <v>26500</v>
      </c>
      <c r="H767">
        <v>43090</v>
      </c>
    </row>
    <row r="768" spans="1:8" x14ac:dyDescent="0.25">
      <c r="A768" s="10">
        <v>750</v>
      </c>
      <c r="B768" t="s">
        <v>1249</v>
      </c>
      <c r="C768" s="2" t="s">
        <v>1149</v>
      </c>
      <c r="D768" s="1" t="s">
        <v>1298</v>
      </c>
      <c r="E768">
        <v>25850</v>
      </c>
      <c r="F768">
        <v>26000</v>
      </c>
      <c r="G768">
        <v>26500</v>
      </c>
      <c r="H768">
        <v>43090</v>
      </c>
    </row>
    <row r="769" spans="1:8" x14ac:dyDescent="0.25">
      <c r="A769" s="10">
        <v>751</v>
      </c>
      <c r="B769" t="s">
        <v>1250</v>
      </c>
      <c r="C769" s="2" t="s">
        <v>1150</v>
      </c>
      <c r="D769" s="1" t="s">
        <v>1298</v>
      </c>
      <c r="E769">
        <v>25850</v>
      </c>
      <c r="F769">
        <v>26000</v>
      </c>
      <c r="G769">
        <v>26500</v>
      </c>
      <c r="H769">
        <v>43090</v>
      </c>
    </row>
    <row r="770" spans="1:8" x14ac:dyDescent="0.25">
      <c r="A770" s="10">
        <v>752</v>
      </c>
      <c r="B770" t="s">
        <v>1251</v>
      </c>
      <c r="C770" s="2" t="s">
        <v>1151</v>
      </c>
      <c r="D770" s="1" t="s">
        <v>1298</v>
      </c>
      <c r="E770">
        <v>25850</v>
      </c>
      <c r="F770">
        <v>26000</v>
      </c>
      <c r="G770">
        <v>26500</v>
      </c>
      <c r="H770">
        <v>43090</v>
      </c>
    </row>
    <row r="771" spans="1:8" x14ac:dyDescent="0.25">
      <c r="A771" s="10">
        <v>753</v>
      </c>
      <c r="B771" t="s">
        <v>1252</v>
      </c>
      <c r="C771" s="2" t="s">
        <v>1152</v>
      </c>
      <c r="D771" s="1" t="s">
        <v>1298</v>
      </c>
      <c r="E771">
        <v>25850</v>
      </c>
      <c r="F771">
        <v>26000</v>
      </c>
      <c r="G771">
        <v>26500</v>
      </c>
      <c r="H771">
        <v>43090</v>
      </c>
    </row>
    <row r="772" spans="1:8" x14ac:dyDescent="0.25">
      <c r="A772" s="10">
        <v>754</v>
      </c>
      <c r="B772" t="s">
        <v>1253</v>
      </c>
      <c r="C772" s="2" t="s">
        <v>1153</v>
      </c>
      <c r="D772" s="1" t="s">
        <v>1298</v>
      </c>
      <c r="E772">
        <v>25850</v>
      </c>
      <c r="F772">
        <v>26000</v>
      </c>
      <c r="G772">
        <v>26500</v>
      </c>
      <c r="H772">
        <v>43090</v>
      </c>
    </row>
    <row r="773" spans="1:8" x14ac:dyDescent="0.25">
      <c r="A773" s="10">
        <v>755</v>
      </c>
      <c r="B773" t="s">
        <v>1254</v>
      </c>
      <c r="C773" s="2" t="s">
        <v>1154</v>
      </c>
      <c r="D773" s="1" t="s">
        <v>1298</v>
      </c>
      <c r="E773">
        <v>25850</v>
      </c>
      <c r="F773">
        <v>26000</v>
      </c>
      <c r="G773">
        <v>26500</v>
      </c>
      <c r="H773">
        <v>43090</v>
      </c>
    </row>
    <row r="774" spans="1:8" x14ac:dyDescent="0.25">
      <c r="A774" s="10">
        <v>756</v>
      </c>
      <c r="B774" t="s">
        <v>1255</v>
      </c>
      <c r="C774" s="2" t="s">
        <v>1155</v>
      </c>
      <c r="D774" s="1" t="s">
        <v>1298</v>
      </c>
      <c r="E774">
        <v>25850</v>
      </c>
      <c r="F774">
        <v>26000</v>
      </c>
      <c r="G774">
        <v>26500</v>
      </c>
      <c r="H774">
        <v>43090</v>
      </c>
    </row>
    <row r="775" spans="1:8" x14ac:dyDescent="0.25">
      <c r="A775" s="10">
        <v>757</v>
      </c>
      <c r="B775" t="s">
        <v>1256</v>
      </c>
      <c r="C775" s="2" t="s">
        <v>1156</v>
      </c>
      <c r="D775" s="1" t="s">
        <v>1298</v>
      </c>
      <c r="E775">
        <v>25850</v>
      </c>
      <c r="F775">
        <v>26000</v>
      </c>
      <c r="G775">
        <v>26500</v>
      </c>
      <c r="H775">
        <v>43090</v>
      </c>
    </row>
    <row r="776" spans="1:8" x14ac:dyDescent="0.25">
      <c r="A776" s="10">
        <v>758</v>
      </c>
      <c r="B776" t="s">
        <v>1257</v>
      </c>
      <c r="C776" s="2" t="s">
        <v>1157</v>
      </c>
      <c r="D776" s="1" t="s">
        <v>1298</v>
      </c>
      <c r="E776">
        <v>25850</v>
      </c>
      <c r="F776">
        <v>26000</v>
      </c>
      <c r="G776">
        <v>26500</v>
      </c>
      <c r="H776">
        <v>43090</v>
      </c>
    </row>
    <row r="777" spans="1:8" x14ac:dyDescent="0.25">
      <c r="A777" s="10">
        <v>759</v>
      </c>
      <c r="B777" t="s">
        <v>1258</v>
      </c>
      <c r="C777" s="2" t="s">
        <v>1158</v>
      </c>
      <c r="D777" s="1" t="s">
        <v>1298</v>
      </c>
      <c r="E777">
        <v>25850</v>
      </c>
      <c r="F777">
        <v>26000</v>
      </c>
      <c r="G777">
        <v>26500</v>
      </c>
      <c r="H777">
        <v>43090</v>
      </c>
    </row>
    <row r="778" spans="1:8" x14ac:dyDescent="0.25">
      <c r="A778" s="10">
        <v>760</v>
      </c>
      <c r="B778" t="s">
        <v>1259</v>
      </c>
      <c r="C778" s="2" t="s">
        <v>1159</v>
      </c>
      <c r="D778" s="1" t="s">
        <v>1298</v>
      </c>
      <c r="E778">
        <v>25850</v>
      </c>
      <c r="F778">
        <v>26000</v>
      </c>
      <c r="G778">
        <v>26500</v>
      </c>
      <c r="H778">
        <v>43090</v>
      </c>
    </row>
    <row r="779" spans="1:8" x14ac:dyDescent="0.25">
      <c r="A779" s="10">
        <v>761</v>
      </c>
      <c r="B779" t="s">
        <v>1260</v>
      </c>
      <c r="C779" s="2" t="s">
        <v>1160</v>
      </c>
      <c r="D779" s="1" t="s">
        <v>1298</v>
      </c>
      <c r="E779">
        <v>25850</v>
      </c>
      <c r="F779">
        <v>26000</v>
      </c>
      <c r="G779">
        <v>26500</v>
      </c>
      <c r="H779">
        <v>43090</v>
      </c>
    </row>
    <row r="780" spans="1:8" x14ac:dyDescent="0.25">
      <c r="A780" s="10">
        <v>762</v>
      </c>
      <c r="B780" t="s">
        <v>1261</v>
      </c>
      <c r="C780" s="2" t="s">
        <v>1161</v>
      </c>
      <c r="D780" s="1" t="s">
        <v>1298</v>
      </c>
      <c r="E780">
        <v>25850</v>
      </c>
      <c r="F780">
        <v>26000</v>
      </c>
      <c r="G780">
        <v>26500</v>
      </c>
      <c r="H780">
        <v>43090</v>
      </c>
    </row>
    <row r="781" spans="1:8" x14ac:dyDescent="0.25">
      <c r="A781" s="10">
        <v>763</v>
      </c>
      <c r="B781" t="s">
        <v>1262</v>
      </c>
      <c r="C781" s="2" t="s">
        <v>1162</v>
      </c>
      <c r="D781" s="1" t="s">
        <v>1298</v>
      </c>
      <c r="E781">
        <v>25850</v>
      </c>
      <c r="F781">
        <v>26000</v>
      </c>
      <c r="G781">
        <v>26500</v>
      </c>
      <c r="H781">
        <v>43090</v>
      </c>
    </row>
    <row r="782" spans="1:8" x14ac:dyDescent="0.25">
      <c r="A782" s="10">
        <v>764</v>
      </c>
      <c r="B782" t="s">
        <v>1263</v>
      </c>
      <c r="C782" s="2" t="s">
        <v>1163</v>
      </c>
      <c r="D782" s="1" t="s">
        <v>1298</v>
      </c>
      <c r="E782">
        <v>25850</v>
      </c>
      <c r="F782">
        <v>26000</v>
      </c>
      <c r="G782">
        <v>26500</v>
      </c>
      <c r="H782">
        <v>43090</v>
      </c>
    </row>
    <row r="783" spans="1:8" x14ac:dyDescent="0.25">
      <c r="A783" s="10">
        <v>765</v>
      </c>
      <c r="B783" t="s">
        <v>1264</v>
      </c>
      <c r="C783" s="2" t="s">
        <v>1164</v>
      </c>
      <c r="D783" s="1" t="s">
        <v>1298</v>
      </c>
      <c r="E783">
        <v>25850</v>
      </c>
      <c r="F783">
        <v>26000</v>
      </c>
      <c r="G783">
        <v>26500</v>
      </c>
      <c r="H783">
        <v>43090</v>
      </c>
    </row>
    <row r="784" spans="1:8" x14ac:dyDescent="0.25">
      <c r="A784" s="10">
        <v>766</v>
      </c>
      <c r="B784" t="s">
        <v>1265</v>
      </c>
      <c r="C784" s="2" t="s">
        <v>1165</v>
      </c>
      <c r="D784" s="1" t="s">
        <v>1298</v>
      </c>
      <c r="E784">
        <v>25850</v>
      </c>
      <c r="F784">
        <v>26000</v>
      </c>
      <c r="G784">
        <v>26500</v>
      </c>
      <c r="H784">
        <v>43090</v>
      </c>
    </row>
    <row r="785" spans="1:8" x14ac:dyDescent="0.25">
      <c r="A785" s="10">
        <v>767</v>
      </c>
      <c r="B785" t="s">
        <v>1266</v>
      </c>
      <c r="C785" s="2" t="s">
        <v>1166</v>
      </c>
      <c r="D785" s="1" t="s">
        <v>1298</v>
      </c>
      <c r="E785">
        <v>25850</v>
      </c>
      <c r="F785">
        <v>26000</v>
      </c>
      <c r="G785">
        <v>26500</v>
      </c>
      <c r="H785">
        <v>43090</v>
      </c>
    </row>
    <row r="786" spans="1:8" x14ac:dyDescent="0.25">
      <c r="A786" s="10">
        <v>768</v>
      </c>
      <c r="B786" t="s">
        <v>1267</v>
      </c>
      <c r="C786" s="2" t="s">
        <v>1167</v>
      </c>
      <c r="D786" s="1" t="s">
        <v>1298</v>
      </c>
      <c r="E786">
        <v>25850</v>
      </c>
      <c r="F786">
        <v>26000</v>
      </c>
      <c r="G786">
        <v>26500</v>
      </c>
      <c r="H786">
        <v>43090</v>
      </c>
    </row>
    <row r="787" spans="1:8" x14ac:dyDescent="0.25">
      <c r="A787" s="10">
        <v>769</v>
      </c>
      <c r="B787" t="s">
        <v>1268</v>
      </c>
      <c r="C787" s="2" t="s">
        <v>1168</v>
      </c>
      <c r="D787" s="1" t="s">
        <v>1298</v>
      </c>
      <c r="E787">
        <v>25850</v>
      </c>
      <c r="F787">
        <v>26000</v>
      </c>
      <c r="G787">
        <v>26500</v>
      </c>
      <c r="H787">
        <v>43090</v>
      </c>
    </row>
    <row r="788" spans="1:8" x14ac:dyDescent="0.25">
      <c r="A788" s="10">
        <v>770</v>
      </c>
      <c r="B788" t="s">
        <v>1269</v>
      </c>
      <c r="C788" s="2" t="s">
        <v>1169</v>
      </c>
      <c r="D788" s="1" t="s">
        <v>1298</v>
      </c>
      <c r="E788">
        <v>25850</v>
      </c>
      <c r="F788">
        <v>26000</v>
      </c>
      <c r="G788">
        <v>26500</v>
      </c>
      <c r="H788">
        <v>43090</v>
      </c>
    </row>
    <row r="789" spans="1:8" x14ac:dyDescent="0.25">
      <c r="A789" s="10">
        <v>771</v>
      </c>
      <c r="B789" t="s">
        <v>1270</v>
      </c>
      <c r="C789" s="2" t="s">
        <v>1170</v>
      </c>
      <c r="D789" s="1" t="s">
        <v>1298</v>
      </c>
      <c r="E789">
        <v>25850</v>
      </c>
      <c r="F789">
        <v>26000</v>
      </c>
      <c r="G789">
        <v>26500</v>
      </c>
      <c r="H789">
        <v>43090</v>
      </c>
    </row>
    <row r="790" spans="1:8" x14ac:dyDescent="0.25">
      <c r="A790" s="10">
        <v>772</v>
      </c>
      <c r="B790" t="s">
        <v>1271</v>
      </c>
      <c r="C790" s="2" t="s">
        <v>1171</v>
      </c>
      <c r="D790" s="1" t="s">
        <v>1298</v>
      </c>
      <c r="E790">
        <v>25850</v>
      </c>
      <c r="F790">
        <v>26000</v>
      </c>
      <c r="G790">
        <v>26500</v>
      </c>
      <c r="H790">
        <v>43090</v>
      </c>
    </row>
    <row r="791" spans="1:8" x14ac:dyDescent="0.25">
      <c r="A791" s="10">
        <v>773</v>
      </c>
      <c r="B791" t="s">
        <v>1272</v>
      </c>
      <c r="C791" s="2" t="s">
        <v>1172</v>
      </c>
      <c r="D791" s="1" t="s">
        <v>1298</v>
      </c>
      <c r="E791">
        <v>25850</v>
      </c>
      <c r="F791">
        <v>26000</v>
      </c>
      <c r="G791">
        <v>26500</v>
      </c>
      <c r="H791">
        <v>43090</v>
      </c>
    </row>
    <row r="792" spans="1:8" x14ac:dyDescent="0.25">
      <c r="A792" s="10">
        <v>774</v>
      </c>
      <c r="B792" t="s">
        <v>1273</v>
      </c>
      <c r="C792" s="2" t="s">
        <v>1173</v>
      </c>
      <c r="D792" s="1" t="s">
        <v>1298</v>
      </c>
      <c r="E792">
        <v>25850</v>
      </c>
      <c r="F792">
        <v>26000</v>
      </c>
      <c r="G792">
        <v>26500</v>
      </c>
      <c r="H792">
        <v>43090</v>
      </c>
    </row>
    <row r="793" spans="1:8" x14ac:dyDescent="0.25">
      <c r="A793" s="10">
        <v>775</v>
      </c>
      <c r="B793" t="s">
        <v>1274</v>
      </c>
      <c r="C793" s="2" t="s">
        <v>1174</v>
      </c>
      <c r="D793" s="1" t="s">
        <v>1298</v>
      </c>
      <c r="E793">
        <v>25850</v>
      </c>
      <c r="F793">
        <v>26000</v>
      </c>
      <c r="G793">
        <v>26500</v>
      </c>
      <c r="H793">
        <v>43090</v>
      </c>
    </row>
    <row r="794" spans="1:8" x14ac:dyDescent="0.25">
      <c r="A794" s="10">
        <v>776</v>
      </c>
      <c r="B794" t="s">
        <v>1275</v>
      </c>
      <c r="C794" s="2" t="s">
        <v>1175</v>
      </c>
      <c r="D794" s="1" t="s">
        <v>1298</v>
      </c>
      <c r="E794">
        <v>25850</v>
      </c>
      <c r="F794">
        <v>26000</v>
      </c>
      <c r="G794">
        <v>26500</v>
      </c>
      <c r="H794">
        <v>43090</v>
      </c>
    </row>
    <row r="795" spans="1:8" x14ac:dyDescent="0.25">
      <c r="A795" s="10">
        <v>777</v>
      </c>
      <c r="B795" t="s">
        <v>1276</v>
      </c>
      <c r="C795" s="2" t="s">
        <v>1176</v>
      </c>
      <c r="D795" s="1" t="s">
        <v>1298</v>
      </c>
      <c r="E795">
        <v>25850</v>
      </c>
      <c r="F795">
        <v>26000</v>
      </c>
      <c r="G795">
        <v>26500</v>
      </c>
      <c r="H795">
        <v>43090</v>
      </c>
    </row>
    <row r="796" spans="1:8" x14ac:dyDescent="0.25">
      <c r="A796" s="10">
        <v>778</v>
      </c>
      <c r="B796" t="s">
        <v>1277</v>
      </c>
      <c r="C796" s="2" t="s">
        <v>1177</v>
      </c>
      <c r="D796" s="1" t="s">
        <v>1298</v>
      </c>
      <c r="E796">
        <v>25850</v>
      </c>
      <c r="F796">
        <v>26000</v>
      </c>
      <c r="G796">
        <v>26500</v>
      </c>
      <c r="H796">
        <v>43090</v>
      </c>
    </row>
    <row r="797" spans="1:8" x14ac:dyDescent="0.25">
      <c r="A797" s="10">
        <v>779</v>
      </c>
      <c r="B797" t="s">
        <v>1278</v>
      </c>
      <c r="C797" s="2" t="s">
        <v>1178</v>
      </c>
      <c r="D797" s="1" t="s">
        <v>1298</v>
      </c>
      <c r="E797">
        <v>25850</v>
      </c>
      <c r="F797">
        <v>26000</v>
      </c>
      <c r="G797">
        <v>26500</v>
      </c>
      <c r="H797">
        <v>43090</v>
      </c>
    </row>
    <row r="798" spans="1:8" x14ac:dyDescent="0.25">
      <c r="A798" s="10">
        <v>780</v>
      </c>
      <c r="B798" t="s">
        <v>1279</v>
      </c>
      <c r="C798" s="2" t="s">
        <v>1179</v>
      </c>
      <c r="D798" s="1" t="s">
        <v>1298</v>
      </c>
      <c r="E798">
        <v>25850</v>
      </c>
      <c r="F798">
        <v>26000</v>
      </c>
      <c r="G798">
        <v>26500</v>
      </c>
      <c r="H798">
        <v>43090</v>
      </c>
    </row>
    <row r="799" spans="1:8" x14ac:dyDescent="0.25">
      <c r="A799" s="10">
        <v>781</v>
      </c>
      <c r="B799" t="s">
        <v>1280</v>
      </c>
      <c r="C799" s="2" t="s">
        <v>1180</v>
      </c>
      <c r="D799" s="1" t="s">
        <v>1298</v>
      </c>
      <c r="E799">
        <v>25850</v>
      </c>
      <c r="F799">
        <v>26000</v>
      </c>
      <c r="G799">
        <v>26500</v>
      </c>
      <c r="H799">
        <v>43090</v>
      </c>
    </row>
    <row r="800" spans="1:8" x14ac:dyDescent="0.25">
      <c r="A800" s="10">
        <v>782</v>
      </c>
      <c r="B800" t="s">
        <v>1281</v>
      </c>
      <c r="C800" s="2" t="s">
        <v>1181</v>
      </c>
      <c r="D800" s="1" t="s">
        <v>1298</v>
      </c>
      <c r="E800">
        <v>25850</v>
      </c>
      <c r="F800">
        <v>26000</v>
      </c>
      <c r="G800">
        <v>26500</v>
      </c>
      <c r="H800">
        <v>43090</v>
      </c>
    </row>
    <row r="801" spans="1:8" x14ac:dyDescent="0.25">
      <c r="A801" s="10">
        <v>783</v>
      </c>
      <c r="B801" t="s">
        <v>1282</v>
      </c>
      <c r="C801" s="2" t="s">
        <v>1182</v>
      </c>
      <c r="D801" s="1" t="s">
        <v>1298</v>
      </c>
      <c r="E801">
        <v>25850</v>
      </c>
      <c r="F801">
        <v>26000</v>
      </c>
      <c r="G801">
        <v>26500</v>
      </c>
      <c r="H801">
        <v>43090</v>
      </c>
    </row>
    <row r="802" spans="1:8" x14ac:dyDescent="0.25">
      <c r="A802" s="10">
        <v>784</v>
      </c>
      <c r="B802" t="s">
        <v>1283</v>
      </c>
      <c r="C802" s="2" t="s">
        <v>1183</v>
      </c>
      <c r="D802" s="1" t="s">
        <v>1298</v>
      </c>
      <c r="E802">
        <v>25850</v>
      </c>
      <c r="F802">
        <v>26000</v>
      </c>
      <c r="G802">
        <v>26500</v>
      </c>
      <c r="H802">
        <v>43090</v>
      </c>
    </row>
    <row r="803" spans="1:8" x14ac:dyDescent="0.25">
      <c r="A803" s="10">
        <v>785</v>
      </c>
      <c r="B803" t="s">
        <v>1284</v>
      </c>
      <c r="C803" s="2" t="s">
        <v>1184</v>
      </c>
      <c r="D803" s="1" t="s">
        <v>1298</v>
      </c>
      <c r="E803">
        <v>25850</v>
      </c>
      <c r="F803">
        <v>26000</v>
      </c>
      <c r="G803">
        <v>26500</v>
      </c>
      <c r="H803">
        <v>43090</v>
      </c>
    </row>
    <row r="804" spans="1:8" x14ac:dyDescent="0.25">
      <c r="A804" s="10">
        <v>786</v>
      </c>
      <c r="B804" t="s">
        <v>1285</v>
      </c>
      <c r="C804" s="2" t="s">
        <v>1185</v>
      </c>
      <c r="D804" s="1" t="s">
        <v>1298</v>
      </c>
      <c r="E804">
        <v>25850</v>
      </c>
      <c r="F804">
        <v>26000</v>
      </c>
      <c r="G804">
        <v>26500</v>
      </c>
      <c r="H804">
        <v>43090</v>
      </c>
    </row>
    <row r="805" spans="1:8" x14ac:dyDescent="0.25">
      <c r="A805" s="10">
        <v>787</v>
      </c>
      <c r="B805" t="s">
        <v>1286</v>
      </c>
      <c r="C805" s="2" t="s">
        <v>1186</v>
      </c>
      <c r="D805" s="1" t="s">
        <v>1298</v>
      </c>
      <c r="E805">
        <v>25850</v>
      </c>
      <c r="F805">
        <v>26000</v>
      </c>
      <c r="G805">
        <v>26500</v>
      </c>
      <c r="H805">
        <v>43090</v>
      </c>
    </row>
    <row r="806" spans="1:8" x14ac:dyDescent="0.25">
      <c r="A806" s="10">
        <v>788</v>
      </c>
      <c r="B806" t="s">
        <v>1287</v>
      </c>
      <c r="C806" s="2" t="s">
        <v>1187</v>
      </c>
      <c r="D806" s="1" t="s">
        <v>1298</v>
      </c>
      <c r="E806">
        <v>25850</v>
      </c>
      <c r="F806">
        <v>26000</v>
      </c>
      <c r="G806">
        <v>26500</v>
      </c>
      <c r="H806">
        <v>43090</v>
      </c>
    </row>
    <row r="807" spans="1:8" x14ac:dyDescent="0.25">
      <c r="A807" s="10">
        <v>789</v>
      </c>
      <c r="B807" t="s">
        <v>1288</v>
      </c>
      <c r="C807" s="2" t="s">
        <v>1188</v>
      </c>
      <c r="D807" s="1" t="s">
        <v>1298</v>
      </c>
      <c r="E807">
        <v>25850</v>
      </c>
      <c r="F807">
        <v>26000</v>
      </c>
      <c r="G807">
        <v>26500</v>
      </c>
      <c r="H807">
        <v>43090</v>
      </c>
    </row>
    <row r="808" spans="1:8" x14ac:dyDescent="0.25">
      <c r="A808" s="10">
        <v>790</v>
      </c>
      <c r="B808" t="s">
        <v>1289</v>
      </c>
      <c r="C808" s="2" t="s">
        <v>1189</v>
      </c>
      <c r="D808" s="1" t="s">
        <v>1298</v>
      </c>
      <c r="E808">
        <v>25850</v>
      </c>
      <c r="F808">
        <v>26000</v>
      </c>
      <c r="G808">
        <v>26500</v>
      </c>
      <c r="H808">
        <v>43090</v>
      </c>
    </row>
    <row r="809" spans="1:8" x14ac:dyDescent="0.25">
      <c r="A809" s="10">
        <v>791</v>
      </c>
      <c r="B809" t="s">
        <v>1290</v>
      </c>
      <c r="C809" s="2" t="s">
        <v>1190</v>
      </c>
      <c r="D809" s="1" t="s">
        <v>1298</v>
      </c>
      <c r="E809">
        <v>25850</v>
      </c>
      <c r="F809">
        <v>26000</v>
      </c>
      <c r="G809">
        <v>26500</v>
      </c>
      <c r="H809">
        <v>43090</v>
      </c>
    </row>
    <row r="810" spans="1:8" x14ac:dyDescent="0.25">
      <c r="A810" s="10">
        <v>792</v>
      </c>
      <c r="B810" t="s">
        <v>1291</v>
      </c>
      <c r="C810" s="2" t="s">
        <v>1191</v>
      </c>
      <c r="D810" s="1" t="s">
        <v>1298</v>
      </c>
      <c r="E810">
        <v>25850</v>
      </c>
      <c r="F810">
        <v>26000</v>
      </c>
      <c r="G810">
        <v>26500</v>
      </c>
      <c r="H810">
        <v>43090</v>
      </c>
    </row>
    <row r="811" spans="1:8" x14ac:dyDescent="0.25">
      <c r="A811" s="10">
        <v>793</v>
      </c>
      <c r="B811" t="s">
        <v>1292</v>
      </c>
      <c r="C811" s="2" t="s">
        <v>1192</v>
      </c>
      <c r="D811" s="1" t="s">
        <v>1298</v>
      </c>
      <c r="E811">
        <v>25850</v>
      </c>
      <c r="F811">
        <v>26000</v>
      </c>
      <c r="G811">
        <v>26500</v>
      </c>
      <c r="H811">
        <v>43090</v>
      </c>
    </row>
    <row r="812" spans="1:8" x14ac:dyDescent="0.25">
      <c r="A812" s="10">
        <v>794</v>
      </c>
      <c r="B812" t="s">
        <v>1293</v>
      </c>
      <c r="C812" s="2" t="s">
        <v>1193</v>
      </c>
      <c r="D812" s="1" t="s">
        <v>1298</v>
      </c>
      <c r="E812">
        <v>25850</v>
      </c>
      <c r="F812">
        <v>26000</v>
      </c>
      <c r="G812">
        <v>26500</v>
      </c>
      <c r="H812">
        <v>43090</v>
      </c>
    </row>
    <row r="813" spans="1:8" x14ac:dyDescent="0.25">
      <c r="A813" s="10">
        <v>795</v>
      </c>
      <c r="B813" t="s">
        <v>1294</v>
      </c>
      <c r="C813" s="2" t="s">
        <v>1194</v>
      </c>
      <c r="D813" s="1" t="s">
        <v>1298</v>
      </c>
      <c r="E813">
        <v>25850</v>
      </c>
      <c r="F813">
        <v>26000</v>
      </c>
      <c r="G813">
        <v>26500</v>
      </c>
      <c r="H813">
        <v>43090</v>
      </c>
    </row>
    <row r="814" spans="1:8" x14ac:dyDescent="0.25">
      <c r="C814" s="5"/>
    </row>
    <row r="815" spans="1:8" x14ac:dyDescent="0.25">
      <c r="C815" s="5"/>
    </row>
    <row r="816" spans="1:8" x14ac:dyDescent="0.25">
      <c r="A816" s="10">
        <v>796</v>
      </c>
      <c r="B816" t="s">
        <v>1299</v>
      </c>
      <c r="C816" s="2" t="s">
        <v>1373</v>
      </c>
      <c r="D816" s="1" t="s">
        <v>1669</v>
      </c>
      <c r="E816">
        <v>1772</v>
      </c>
      <c r="F816">
        <v>1780</v>
      </c>
      <c r="G816">
        <v>1800</v>
      </c>
      <c r="H816">
        <v>3280</v>
      </c>
    </row>
    <row r="817" spans="1:8" x14ac:dyDescent="0.25">
      <c r="A817" s="10">
        <v>797</v>
      </c>
      <c r="B817" t="s">
        <v>1300</v>
      </c>
      <c r="C817" s="2" t="s">
        <v>1374</v>
      </c>
      <c r="D817" s="1" t="s">
        <v>1669</v>
      </c>
      <c r="E817">
        <v>1772</v>
      </c>
      <c r="F817">
        <v>1780</v>
      </c>
      <c r="G817">
        <v>1800</v>
      </c>
      <c r="H817">
        <v>3280</v>
      </c>
    </row>
    <row r="818" spans="1:8" x14ac:dyDescent="0.25">
      <c r="A818" s="10">
        <v>798</v>
      </c>
      <c r="B818" t="s">
        <v>1301</v>
      </c>
      <c r="C818" s="2" t="s">
        <v>1375</v>
      </c>
      <c r="D818" s="1" t="s">
        <v>1669</v>
      </c>
      <c r="E818">
        <v>1772</v>
      </c>
      <c r="F818">
        <v>1780</v>
      </c>
      <c r="G818">
        <v>1800</v>
      </c>
      <c r="H818">
        <v>3280</v>
      </c>
    </row>
    <row r="819" spans="1:8" x14ac:dyDescent="0.25">
      <c r="A819" s="10">
        <v>799</v>
      </c>
      <c r="B819" t="s">
        <v>1302</v>
      </c>
      <c r="C819" s="2" t="s">
        <v>1376</v>
      </c>
      <c r="D819" s="1" t="s">
        <v>1669</v>
      </c>
      <c r="E819">
        <v>1772</v>
      </c>
      <c r="F819">
        <v>1780</v>
      </c>
      <c r="G819">
        <v>1800</v>
      </c>
      <c r="H819">
        <v>3280</v>
      </c>
    </row>
    <row r="820" spans="1:8" x14ac:dyDescent="0.25">
      <c r="A820" s="10">
        <v>800</v>
      </c>
      <c r="B820" t="s">
        <v>1303</v>
      </c>
      <c r="C820" s="2" t="s">
        <v>1377</v>
      </c>
      <c r="D820" s="1" t="s">
        <v>1669</v>
      </c>
      <c r="E820">
        <v>1772</v>
      </c>
      <c r="F820">
        <v>1780</v>
      </c>
      <c r="G820">
        <v>1800</v>
      </c>
      <c r="H820">
        <v>3280</v>
      </c>
    </row>
    <row r="821" spans="1:8" x14ac:dyDescent="0.25">
      <c r="A821" s="10">
        <v>801</v>
      </c>
      <c r="B821" t="s">
        <v>1304</v>
      </c>
      <c r="C821" s="2" t="s">
        <v>1378</v>
      </c>
      <c r="D821" s="1" t="s">
        <v>1669</v>
      </c>
      <c r="E821">
        <v>1772</v>
      </c>
      <c r="F821">
        <v>1780</v>
      </c>
      <c r="G821">
        <v>1800</v>
      </c>
      <c r="H821">
        <v>3280</v>
      </c>
    </row>
    <row r="822" spans="1:8" x14ac:dyDescent="0.25">
      <c r="A822" s="10">
        <v>802</v>
      </c>
      <c r="B822" t="s">
        <v>1305</v>
      </c>
      <c r="C822" s="2" t="s">
        <v>1379</v>
      </c>
      <c r="D822" s="1" t="s">
        <v>1669</v>
      </c>
      <c r="E822">
        <v>1772</v>
      </c>
      <c r="F822">
        <v>1780</v>
      </c>
      <c r="G822">
        <v>1800</v>
      </c>
      <c r="H822">
        <v>3280</v>
      </c>
    </row>
    <row r="823" spans="1:8" x14ac:dyDescent="0.25">
      <c r="A823" s="10">
        <v>803</v>
      </c>
      <c r="B823" t="s">
        <v>1306</v>
      </c>
      <c r="C823" s="2" t="s">
        <v>1380</v>
      </c>
      <c r="D823" s="1" t="s">
        <v>1669</v>
      </c>
      <c r="E823">
        <v>1772</v>
      </c>
      <c r="F823">
        <v>1780</v>
      </c>
      <c r="G823">
        <v>1800</v>
      </c>
      <c r="H823">
        <v>3280</v>
      </c>
    </row>
    <row r="824" spans="1:8" x14ac:dyDescent="0.25">
      <c r="A824" s="10">
        <v>804</v>
      </c>
      <c r="B824" t="s">
        <v>1307</v>
      </c>
      <c r="C824" s="2" t="s">
        <v>1381</v>
      </c>
      <c r="D824" s="1" t="s">
        <v>1669</v>
      </c>
      <c r="E824">
        <v>1772</v>
      </c>
      <c r="F824">
        <v>1780</v>
      </c>
      <c r="G824">
        <v>1800</v>
      </c>
      <c r="H824">
        <v>3280</v>
      </c>
    </row>
    <row r="825" spans="1:8" x14ac:dyDescent="0.25">
      <c r="A825" s="10">
        <v>805</v>
      </c>
      <c r="B825" t="s">
        <v>1308</v>
      </c>
      <c r="C825" s="2" t="s">
        <v>1382</v>
      </c>
      <c r="D825" s="1" t="s">
        <v>1669</v>
      </c>
      <c r="E825">
        <v>1772</v>
      </c>
      <c r="F825">
        <v>1780</v>
      </c>
      <c r="G825">
        <v>1800</v>
      </c>
      <c r="H825">
        <v>3280</v>
      </c>
    </row>
    <row r="826" spans="1:8" x14ac:dyDescent="0.25">
      <c r="A826" s="10">
        <v>806</v>
      </c>
      <c r="B826" t="s">
        <v>1309</v>
      </c>
      <c r="C826" s="2" t="s">
        <v>1383</v>
      </c>
      <c r="D826" s="1" t="s">
        <v>1669</v>
      </c>
      <c r="E826">
        <v>1772</v>
      </c>
      <c r="F826">
        <v>1780</v>
      </c>
      <c r="G826">
        <v>1800</v>
      </c>
      <c r="H826">
        <v>3280</v>
      </c>
    </row>
    <row r="827" spans="1:8" x14ac:dyDescent="0.25">
      <c r="A827" s="10">
        <v>807</v>
      </c>
      <c r="B827" t="s">
        <v>1310</v>
      </c>
      <c r="C827" s="2" t="s">
        <v>1384</v>
      </c>
      <c r="D827" s="1" t="s">
        <v>1669</v>
      </c>
      <c r="E827">
        <v>1772</v>
      </c>
      <c r="F827">
        <v>1780</v>
      </c>
      <c r="G827">
        <v>1800</v>
      </c>
      <c r="H827">
        <v>3280</v>
      </c>
    </row>
    <row r="828" spans="1:8" x14ac:dyDescent="0.25">
      <c r="A828" s="10">
        <v>808</v>
      </c>
      <c r="B828" t="s">
        <v>1311</v>
      </c>
      <c r="C828" s="2" t="s">
        <v>1385</v>
      </c>
      <c r="D828" s="1" t="s">
        <v>1669</v>
      </c>
      <c r="E828">
        <v>1772</v>
      </c>
      <c r="F828">
        <v>1780</v>
      </c>
      <c r="G828">
        <v>1800</v>
      </c>
      <c r="H828">
        <v>3280</v>
      </c>
    </row>
    <row r="829" spans="1:8" x14ac:dyDescent="0.25">
      <c r="A829" s="10">
        <v>809</v>
      </c>
      <c r="B829" t="s">
        <v>1312</v>
      </c>
      <c r="C829" s="2" t="s">
        <v>1386</v>
      </c>
      <c r="D829" s="1" t="s">
        <v>1669</v>
      </c>
      <c r="E829">
        <v>1772</v>
      </c>
      <c r="F829">
        <v>1780</v>
      </c>
      <c r="G829">
        <v>1800</v>
      </c>
      <c r="H829">
        <v>3280</v>
      </c>
    </row>
    <row r="830" spans="1:8" x14ac:dyDescent="0.25">
      <c r="A830" s="10">
        <v>810</v>
      </c>
      <c r="B830" t="s">
        <v>1313</v>
      </c>
      <c r="C830" s="2" t="s">
        <v>1387</v>
      </c>
      <c r="D830" s="1" t="s">
        <v>1669</v>
      </c>
      <c r="E830">
        <v>1772</v>
      </c>
      <c r="F830">
        <v>1780</v>
      </c>
      <c r="G830">
        <v>1800</v>
      </c>
      <c r="H830">
        <v>3280</v>
      </c>
    </row>
    <row r="831" spans="1:8" x14ac:dyDescent="0.25">
      <c r="A831" s="10">
        <v>811</v>
      </c>
      <c r="B831" t="s">
        <v>1314</v>
      </c>
      <c r="C831" s="2" t="s">
        <v>1388</v>
      </c>
      <c r="D831" s="1" t="s">
        <v>1669</v>
      </c>
      <c r="E831">
        <v>1772</v>
      </c>
      <c r="F831">
        <v>1780</v>
      </c>
      <c r="G831">
        <v>1800</v>
      </c>
      <c r="H831">
        <v>3280</v>
      </c>
    </row>
    <row r="832" spans="1:8" x14ac:dyDescent="0.25">
      <c r="A832" s="10">
        <v>812</v>
      </c>
      <c r="B832" t="s">
        <v>1315</v>
      </c>
      <c r="C832" s="2" t="s">
        <v>1389</v>
      </c>
      <c r="D832" s="1" t="s">
        <v>1669</v>
      </c>
      <c r="E832">
        <v>1772</v>
      </c>
      <c r="F832">
        <v>1780</v>
      </c>
      <c r="G832">
        <v>1800</v>
      </c>
      <c r="H832">
        <v>3280</v>
      </c>
    </row>
    <row r="833" spans="1:8" x14ac:dyDescent="0.25">
      <c r="A833" s="10">
        <v>813</v>
      </c>
      <c r="B833" t="s">
        <v>1316</v>
      </c>
      <c r="C833" s="2" t="s">
        <v>1390</v>
      </c>
      <c r="D833" s="1" t="s">
        <v>1669</v>
      </c>
      <c r="E833">
        <v>1772</v>
      </c>
      <c r="F833">
        <v>1780</v>
      </c>
      <c r="G833">
        <v>1800</v>
      </c>
      <c r="H833">
        <v>3280</v>
      </c>
    </row>
    <row r="834" spans="1:8" x14ac:dyDescent="0.25">
      <c r="A834" s="10">
        <v>814</v>
      </c>
      <c r="B834" t="s">
        <v>1317</v>
      </c>
      <c r="C834" s="2" t="s">
        <v>1391</v>
      </c>
      <c r="D834" s="1" t="s">
        <v>1669</v>
      </c>
      <c r="E834">
        <v>1772</v>
      </c>
      <c r="F834">
        <v>1780</v>
      </c>
      <c r="G834">
        <v>1800</v>
      </c>
      <c r="H834">
        <v>3280</v>
      </c>
    </row>
    <row r="835" spans="1:8" x14ac:dyDescent="0.25">
      <c r="A835" s="10">
        <v>815</v>
      </c>
      <c r="B835" t="s">
        <v>1318</v>
      </c>
      <c r="C835" s="2" t="s">
        <v>1392</v>
      </c>
      <c r="D835" s="1" t="s">
        <v>1669</v>
      </c>
      <c r="E835">
        <v>1772</v>
      </c>
      <c r="F835">
        <v>1780</v>
      </c>
      <c r="G835">
        <v>1800</v>
      </c>
      <c r="H835">
        <v>3280</v>
      </c>
    </row>
    <row r="836" spans="1:8" x14ac:dyDescent="0.25">
      <c r="A836" s="10">
        <v>816</v>
      </c>
      <c r="B836" t="s">
        <v>1319</v>
      </c>
      <c r="C836" s="2" t="s">
        <v>1393</v>
      </c>
      <c r="D836" s="1" t="s">
        <v>1669</v>
      </c>
      <c r="E836">
        <v>1772</v>
      </c>
      <c r="F836">
        <v>1780</v>
      </c>
      <c r="G836">
        <v>1800</v>
      </c>
      <c r="H836">
        <v>3280</v>
      </c>
    </row>
    <row r="837" spans="1:8" x14ac:dyDescent="0.25">
      <c r="A837" s="10">
        <v>817</v>
      </c>
      <c r="B837" t="s">
        <v>1320</v>
      </c>
      <c r="C837" s="2" t="s">
        <v>1394</v>
      </c>
      <c r="D837" s="1" t="s">
        <v>1669</v>
      </c>
      <c r="E837">
        <v>1772</v>
      </c>
      <c r="F837">
        <v>1780</v>
      </c>
      <c r="G837">
        <v>1800</v>
      </c>
      <c r="H837">
        <v>3280</v>
      </c>
    </row>
    <row r="838" spans="1:8" x14ac:dyDescent="0.25">
      <c r="A838" s="10">
        <v>818</v>
      </c>
      <c r="B838" t="s">
        <v>1321</v>
      </c>
      <c r="C838" s="2" t="s">
        <v>1395</v>
      </c>
      <c r="D838" s="1" t="s">
        <v>1669</v>
      </c>
      <c r="E838">
        <v>1772</v>
      </c>
      <c r="F838">
        <v>1780</v>
      </c>
      <c r="G838">
        <v>1800</v>
      </c>
      <c r="H838">
        <v>3280</v>
      </c>
    </row>
    <row r="839" spans="1:8" x14ac:dyDescent="0.25">
      <c r="A839" s="10">
        <v>819</v>
      </c>
      <c r="B839" t="s">
        <v>1322</v>
      </c>
      <c r="C839" s="2" t="s">
        <v>1396</v>
      </c>
      <c r="D839" s="1" t="s">
        <v>1669</v>
      </c>
      <c r="E839">
        <v>1772</v>
      </c>
      <c r="F839">
        <v>1780</v>
      </c>
      <c r="G839">
        <v>1800</v>
      </c>
      <c r="H839">
        <v>3280</v>
      </c>
    </row>
    <row r="840" spans="1:8" x14ac:dyDescent="0.25">
      <c r="A840" s="10">
        <v>820</v>
      </c>
      <c r="B840" t="s">
        <v>1323</v>
      </c>
      <c r="C840" s="2" t="s">
        <v>1397</v>
      </c>
      <c r="D840" s="1" t="s">
        <v>1669</v>
      </c>
      <c r="E840">
        <v>1772</v>
      </c>
      <c r="F840">
        <v>1780</v>
      </c>
      <c r="G840">
        <v>1800</v>
      </c>
      <c r="H840">
        <v>3280</v>
      </c>
    </row>
    <row r="841" spans="1:8" x14ac:dyDescent="0.25">
      <c r="A841" s="10">
        <v>821</v>
      </c>
      <c r="B841" t="s">
        <v>1324</v>
      </c>
      <c r="C841" s="2" t="s">
        <v>1398</v>
      </c>
      <c r="D841" s="1" t="s">
        <v>1669</v>
      </c>
      <c r="E841">
        <v>1772</v>
      </c>
      <c r="F841">
        <v>1780</v>
      </c>
      <c r="G841">
        <v>1800</v>
      </c>
      <c r="H841">
        <v>3280</v>
      </c>
    </row>
    <row r="842" spans="1:8" x14ac:dyDescent="0.25">
      <c r="A842" s="10">
        <v>822</v>
      </c>
      <c r="B842" t="s">
        <v>1325</v>
      </c>
      <c r="C842" s="2" t="s">
        <v>1399</v>
      </c>
      <c r="D842" s="1" t="s">
        <v>1669</v>
      </c>
      <c r="E842">
        <v>1772</v>
      </c>
      <c r="F842">
        <v>1780</v>
      </c>
      <c r="G842">
        <v>1800</v>
      </c>
      <c r="H842">
        <v>3280</v>
      </c>
    </row>
    <row r="843" spans="1:8" x14ac:dyDescent="0.25">
      <c r="A843" s="10">
        <v>823</v>
      </c>
      <c r="B843" t="s">
        <v>1326</v>
      </c>
      <c r="C843" s="2" t="s">
        <v>1400</v>
      </c>
      <c r="D843" s="1" t="s">
        <v>1669</v>
      </c>
      <c r="E843">
        <v>1772</v>
      </c>
      <c r="F843">
        <v>1780</v>
      </c>
      <c r="G843">
        <v>1800</v>
      </c>
      <c r="H843">
        <v>3280</v>
      </c>
    </row>
    <row r="844" spans="1:8" x14ac:dyDescent="0.25">
      <c r="A844" s="10">
        <v>824</v>
      </c>
      <c r="B844" t="s">
        <v>1327</v>
      </c>
      <c r="C844" s="2" t="s">
        <v>1401</v>
      </c>
      <c r="D844" s="1" t="s">
        <v>1669</v>
      </c>
      <c r="E844">
        <v>1772</v>
      </c>
      <c r="F844">
        <v>1780</v>
      </c>
      <c r="G844">
        <v>1800</v>
      </c>
      <c r="H844">
        <v>3280</v>
      </c>
    </row>
    <row r="845" spans="1:8" x14ac:dyDescent="0.25">
      <c r="A845" s="10">
        <v>825</v>
      </c>
      <c r="B845" t="s">
        <v>1328</v>
      </c>
      <c r="C845" s="2" t="s">
        <v>1402</v>
      </c>
      <c r="D845" s="1" t="s">
        <v>1669</v>
      </c>
      <c r="E845">
        <v>1772</v>
      </c>
      <c r="F845">
        <v>1780</v>
      </c>
      <c r="G845">
        <v>1800</v>
      </c>
      <c r="H845">
        <v>3280</v>
      </c>
    </row>
    <row r="846" spans="1:8" x14ac:dyDescent="0.25">
      <c r="A846" s="10">
        <v>826</v>
      </c>
      <c r="B846" t="s">
        <v>1329</v>
      </c>
      <c r="C846" s="2" t="s">
        <v>1403</v>
      </c>
      <c r="D846" s="1" t="s">
        <v>1669</v>
      </c>
      <c r="E846">
        <v>1772</v>
      </c>
      <c r="F846">
        <v>1780</v>
      </c>
      <c r="G846">
        <v>1800</v>
      </c>
      <c r="H846">
        <v>3280</v>
      </c>
    </row>
    <row r="847" spans="1:8" x14ac:dyDescent="0.25">
      <c r="A847" s="10">
        <v>827</v>
      </c>
      <c r="B847" t="s">
        <v>1330</v>
      </c>
      <c r="C847" s="2" t="s">
        <v>1404</v>
      </c>
      <c r="D847" s="1" t="s">
        <v>1669</v>
      </c>
      <c r="E847">
        <v>1772</v>
      </c>
      <c r="F847">
        <v>1780</v>
      </c>
      <c r="G847">
        <v>1800</v>
      </c>
      <c r="H847">
        <v>3280</v>
      </c>
    </row>
    <row r="848" spans="1:8" x14ac:dyDescent="0.25">
      <c r="A848" s="10">
        <v>828</v>
      </c>
      <c r="B848" t="s">
        <v>1331</v>
      </c>
      <c r="C848" s="2" t="s">
        <v>1405</v>
      </c>
      <c r="D848" s="1" t="s">
        <v>1669</v>
      </c>
      <c r="E848">
        <v>1772</v>
      </c>
      <c r="F848">
        <v>1780</v>
      </c>
      <c r="G848">
        <v>1800</v>
      </c>
      <c r="H848">
        <v>3280</v>
      </c>
    </row>
    <row r="849" spans="1:8" x14ac:dyDescent="0.25">
      <c r="A849" s="10">
        <v>829</v>
      </c>
      <c r="B849" t="s">
        <v>1332</v>
      </c>
      <c r="C849" s="2" t="s">
        <v>1406</v>
      </c>
      <c r="D849" s="1" t="s">
        <v>1669</v>
      </c>
      <c r="E849">
        <v>1772</v>
      </c>
      <c r="F849">
        <v>1780</v>
      </c>
      <c r="G849">
        <v>1800</v>
      </c>
      <c r="H849">
        <v>3280</v>
      </c>
    </row>
    <row r="850" spans="1:8" x14ac:dyDescent="0.25">
      <c r="A850" s="10">
        <v>830</v>
      </c>
      <c r="B850" t="s">
        <v>1333</v>
      </c>
      <c r="C850" s="2" t="s">
        <v>1407</v>
      </c>
      <c r="D850" s="1" t="s">
        <v>1669</v>
      </c>
      <c r="E850">
        <v>1772</v>
      </c>
      <c r="F850">
        <v>1780</v>
      </c>
      <c r="G850">
        <v>1800</v>
      </c>
      <c r="H850">
        <v>3280</v>
      </c>
    </row>
    <row r="851" spans="1:8" x14ac:dyDescent="0.25">
      <c r="A851" s="10">
        <v>831</v>
      </c>
      <c r="B851" t="s">
        <v>1334</v>
      </c>
      <c r="C851" s="2" t="s">
        <v>1408</v>
      </c>
      <c r="D851" s="1" t="s">
        <v>1669</v>
      </c>
      <c r="E851">
        <v>1772</v>
      </c>
      <c r="F851">
        <v>1780</v>
      </c>
      <c r="G851">
        <v>1800</v>
      </c>
      <c r="H851">
        <v>3280</v>
      </c>
    </row>
    <row r="852" spans="1:8" x14ac:dyDescent="0.25">
      <c r="A852" s="10">
        <v>832</v>
      </c>
      <c r="B852" t="s">
        <v>1335</v>
      </c>
      <c r="C852" s="2" t="s">
        <v>1409</v>
      </c>
      <c r="D852" s="1" t="s">
        <v>1669</v>
      </c>
      <c r="E852">
        <v>1772</v>
      </c>
      <c r="F852">
        <v>1780</v>
      </c>
      <c r="G852">
        <v>1800</v>
      </c>
      <c r="H852">
        <v>3280</v>
      </c>
    </row>
    <row r="853" spans="1:8" x14ac:dyDescent="0.25">
      <c r="A853" s="10">
        <v>833</v>
      </c>
      <c r="B853" t="s">
        <v>1336</v>
      </c>
      <c r="C853" s="2" t="s">
        <v>1410</v>
      </c>
      <c r="D853" s="1" t="s">
        <v>1669</v>
      </c>
      <c r="E853">
        <v>1772</v>
      </c>
      <c r="F853">
        <v>1780</v>
      </c>
      <c r="G853">
        <v>1800</v>
      </c>
      <c r="H853">
        <v>3280</v>
      </c>
    </row>
    <row r="854" spans="1:8" x14ac:dyDescent="0.25">
      <c r="A854" s="10">
        <v>834</v>
      </c>
      <c r="B854" t="s">
        <v>1337</v>
      </c>
      <c r="C854" s="2" t="s">
        <v>1411</v>
      </c>
      <c r="D854" s="1" t="s">
        <v>1669</v>
      </c>
      <c r="E854">
        <v>1772</v>
      </c>
      <c r="F854">
        <v>1780</v>
      </c>
      <c r="G854">
        <v>1800</v>
      </c>
      <c r="H854">
        <v>3280</v>
      </c>
    </row>
    <row r="855" spans="1:8" x14ac:dyDescent="0.25">
      <c r="A855" s="10">
        <v>835</v>
      </c>
      <c r="B855" t="s">
        <v>1338</v>
      </c>
      <c r="C855" s="2" t="s">
        <v>1412</v>
      </c>
      <c r="D855" s="1" t="s">
        <v>1669</v>
      </c>
      <c r="E855">
        <v>1772</v>
      </c>
      <c r="F855">
        <v>1780</v>
      </c>
      <c r="G855">
        <v>1800</v>
      </c>
      <c r="H855">
        <v>3280</v>
      </c>
    </row>
    <row r="856" spans="1:8" x14ac:dyDescent="0.25">
      <c r="A856" s="10">
        <v>836</v>
      </c>
      <c r="B856" t="s">
        <v>1339</v>
      </c>
      <c r="C856" s="2" t="s">
        <v>1413</v>
      </c>
      <c r="D856" s="1" t="s">
        <v>1669</v>
      </c>
      <c r="E856">
        <v>1772</v>
      </c>
      <c r="F856">
        <v>1780</v>
      </c>
      <c r="G856">
        <v>1800</v>
      </c>
      <c r="H856">
        <v>3280</v>
      </c>
    </row>
    <row r="857" spans="1:8" x14ac:dyDescent="0.25">
      <c r="A857" s="10">
        <v>837</v>
      </c>
      <c r="B857" t="s">
        <v>1340</v>
      </c>
      <c r="C857" s="2" t="s">
        <v>1414</v>
      </c>
      <c r="D857" s="1" t="s">
        <v>1669</v>
      </c>
      <c r="E857">
        <v>1772</v>
      </c>
      <c r="F857">
        <v>1780</v>
      </c>
      <c r="G857">
        <v>1800</v>
      </c>
      <c r="H857">
        <v>3280</v>
      </c>
    </row>
    <row r="858" spans="1:8" x14ac:dyDescent="0.25">
      <c r="A858" s="10">
        <v>838</v>
      </c>
      <c r="B858" t="s">
        <v>1341</v>
      </c>
      <c r="C858" s="2" t="s">
        <v>1415</v>
      </c>
      <c r="D858" s="1" t="s">
        <v>1669</v>
      </c>
      <c r="E858">
        <v>1772</v>
      </c>
      <c r="F858">
        <v>1780</v>
      </c>
      <c r="G858">
        <v>1800</v>
      </c>
      <c r="H858">
        <v>3280</v>
      </c>
    </row>
    <row r="859" spans="1:8" x14ac:dyDescent="0.25">
      <c r="A859" s="10">
        <v>839</v>
      </c>
      <c r="B859" t="s">
        <v>1342</v>
      </c>
      <c r="C859" s="2" t="s">
        <v>1416</v>
      </c>
      <c r="D859" s="1" t="s">
        <v>1669</v>
      </c>
      <c r="E859">
        <v>1772</v>
      </c>
      <c r="F859">
        <v>1780</v>
      </c>
      <c r="G859">
        <v>1800</v>
      </c>
      <c r="H859">
        <v>3280</v>
      </c>
    </row>
    <row r="860" spans="1:8" x14ac:dyDescent="0.25">
      <c r="A860" s="10">
        <v>840</v>
      </c>
      <c r="B860" t="s">
        <v>1343</v>
      </c>
      <c r="C860" s="2" t="s">
        <v>1417</v>
      </c>
      <c r="D860" s="1" t="s">
        <v>1669</v>
      </c>
      <c r="E860">
        <v>1772</v>
      </c>
      <c r="F860">
        <v>1780</v>
      </c>
      <c r="G860">
        <v>1800</v>
      </c>
      <c r="H860">
        <v>3280</v>
      </c>
    </row>
    <row r="861" spans="1:8" x14ac:dyDescent="0.25">
      <c r="A861" s="10">
        <v>841</v>
      </c>
      <c r="B861" t="s">
        <v>1344</v>
      </c>
      <c r="C861" s="2" t="s">
        <v>1418</v>
      </c>
      <c r="D861" s="1" t="s">
        <v>1669</v>
      </c>
      <c r="E861">
        <v>1772</v>
      </c>
      <c r="F861">
        <v>1780</v>
      </c>
      <c r="G861">
        <v>1800</v>
      </c>
      <c r="H861">
        <v>3280</v>
      </c>
    </row>
    <row r="862" spans="1:8" x14ac:dyDescent="0.25">
      <c r="A862" s="10">
        <v>842</v>
      </c>
      <c r="B862" t="s">
        <v>1345</v>
      </c>
      <c r="C862" s="2" t="s">
        <v>1419</v>
      </c>
      <c r="D862" s="1" t="s">
        <v>1669</v>
      </c>
      <c r="E862">
        <v>1772</v>
      </c>
      <c r="F862">
        <v>1780</v>
      </c>
      <c r="G862">
        <v>1800</v>
      </c>
      <c r="H862">
        <v>3280</v>
      </c>
    </row>
    <row r="863" spans="1:8" x14ac:dyDescent="0.25">
      <c r="A863" s="10">
        <v>843</v>
      </c>
      <c r="B863" t="s">
        <v>1346</v>
      </c>
      <c r="C863" s="2" t="s">
        <v>1420</v>
      </c>
      <c r="D863" s="1" t="s">
        <v>1669</v>
      </c>
      <c r="E863">
        <v>1772</v>
      </c>
      <c r="F863">
        <v>1780</v>
      </c>
      <c r="G863">
        <v>1800</v>
      </c>
      <c r="H863">
        <v>3280</v>
      </c>
    </row>
    <row r="864" spans="1:8" x14ac:dyDescent="0.25">
      <c r="A864" s="10">
        <v>844</v>
      </c>
      <c r="B864" t="s">
        <v>1347</v>
      </c>
      <c r="C864" s="2" t="s">
        <v>1421</v>
      </c>
      <c r="D864" s="1" t="s">
        <v>1669</v>
      </c>
      <c r="E864">
        <v>1772</v>
      </c>
      <c r="F864">
        <v>1780</v>
      </c>
      <c r="G864">
        <v>1800</v>
      </c>
      <c r="H864">
        <v>3280</v>
      </c>
    </row>
    <row r="865" spans="1:8" x14ac:dyDescent="0.25">
      <c r="A865" s="10">
        <v>845</v>
      </c>
      <c r="B865" t="s">
        <v>1348</v>
      </c>
      <c r="C865" s="2" t="s">
        <v>1422</v>
      </c>
      <c r="D865" s="1" t="s">
        <v>1669</v>
      </c>
      <c r="E865">
        <v>1772</v>
      </c>
      <c r="F865">
        <v>1780</v>
      </c>
      <c r="G865">
        <v>1800</v>
      </c>
      <c r="H865">
        <v>3280</v>
      </c>
    </row>
    <row r="866" spans="1:8" x14ac:dyDescent="0.25">
      <c r="A866" s="10">
        <v>846</v>
      </c>
      <c r="B866" t="s">
        <v>1349</v>
      </c>
      <c r="C866" s="2" t="s">
        <v>1423</v>
      </c>
      <c r="D866" s="1" t="s">
        <v>1669</v>
      </c>
      <c r="E866">
        <v>1772</v>
      </c>
      <c r="F866">
        <v>1780</v>
      </c>
      <c r="G866">
        <v>1800</v>
      </c>
      <c r="H866">
        <v>3280</v>
      </c>
    </row>
    <row r="867" spans="1:8" x14ac:dyDescent="0.25">
      <c r="A867" s="10">
        <v>847</v>
      </c>
      <c r="B867" t="s">
        <v>1350</v>
      </c>
      <c r="C867" s="2" t="s">
        <v>1424</v>
      </c>
      <c r="D867" s="1" t="s">
        <v>1669</v>
      </c>
      <c r="E867">
        <v>1772</v>
      </c>
      <c r="F867">
        <v>1780</v>
      </c>
      <c r="G867">
        <v>1800</v>
      </c>
      <c r="H867">
        <v>3280</v>
      </c>
    </row>
    <row r="868" spans="1:8" x14ac:dyDescent="0.25">
      <c r="A868" s="10">
        <v>848</v>
      </c>
      <c r="B868" t="s">
        <v>1351</v>
      </c>
      <c r="C868" s="2" t="s">
        <v>1425</v>
      </c>
      <c r="D868" s="1" t="s">
        <v>1669</v>
      </c>
      <c r="E868">
        <v>1772</v>
      </c>
      <c r="F868">
        <v>1780</v>
      </c>
      <c r="G868">
        <v>1800</v>
      </c>
      <c r="H868">
        <v>3280</v>
      </c>
    </row>
    <row r="869" spans="1:8" x14ac:dyDescent="0.25">
      <c r="A869" s="10">
        <v>849</v>
      </c>
      <c r="B869" t="s">
        <v>1352</v>
      </c>
      <c r="C869" s="2" t="s">
        <v>1426</v>
      </c>
      <c r="D869" s="1" t="s">
        <v>1669</v>
      </c>
      <c r="E869">
        <v>1772</v>
      </c>
      <c r="F869">
        <v>1780</v>
      </c>
      <c r="G869">
        <v>1800</v>
      </c>
      <c r="H869">
        <v>3280</v>
      </c>
    </row>
    <row r="870" spans="1:8" x14ac:dyDescent="0.25">
      <c r="A870" s="10">
        <v>850</v>
      </c>
      <c r="B870" t="s">
        <v>1353</v>
      </c>
      <c r="C870" s="2" t="s">
        <v>1427</v>
      </c>
      <c r="D870" s="1" t="s">
        <v>1669</v>
      </c>
      <c r="E870">
        <v>1772</v>
      </c>
      <c r="F870">
        <v>1780</v>
      </c>
      <c r="G870">
        <v>1800</v>
      </c>
      <c r="H870">
        <v>3280</v>
      </c>
    </row>
    <row r="871" spans="1:8" x14ac:dyDescent="0.25">
      <c r="A871" s="10">
        <v>851</v>
      </c>
      <c r="B871" t="s">
        <v>1354</v>
      </c>
      <c r="C871" s="2" t="s">
        <v>1428</v>
      </c>
      <c r="D871" s="1" t="s">
        <v>1669</v>
      </c>
      <c r="E871">
        <v>1772</v>
      </c>
      <c r="F871">
        <v>1780</v>
      </c>
      <c r="G871">
        <v>1800</v>
      </c>
      <c r="H871">
        <v>3280</v>
      </c>
    </row>
    <row r="872" spans="1:8" x14ac:dyDescent="0.25">
      <c r="A872" s="10">
        <v>852</v>
      </c>
      <c r="B872" t="s">
        <v>1355</v>
      </c>
      <c r="C872" s="2" t="s">
        <v>1429</v>
      </c>
      <c r="D872" s="1" t="s">
        <v>1669</v>
      </c>
      <c r="E872">
        <v>1772</v>
      </c>
      <c r="F872">
        <v>1780</v>
      </c>
      <c r="G872">
        <v>1800</v>
      </c>
      <c r="H872">
        <v>3280</v>
      </c>
    </row>
    <row r="873" spans="1:8" x14ac:dyDescent="0.25">
      <c r="A873" s="10">
        <v>853</v>
      </c>
      <c r="B873" t="s">
        <v>1356</v>
      </c>
      <c r="C873" s="2" t="s">
        <v>1430</v>
      </c>
      <c r="D873" s="1" t="s">
        <v>1669</v>
      </c>
      <c r="E873">
        <v>1772</v>
      </c>
      <c r="F873">
        <v>1780</v>
      </c>
      <c r="G873">
        <v>1800</v>
      </c>
      <c r="H873">
        <v>3280</v>
      </c>
    </row>
    <row r="874" spans="1:8" x14ac:dyDescent="0.25">
      <c r="A874" s="10">
        <v>854</v>
      </c>
      <c r="B874" t="s">
        <v>1357</v>
      </c>
      <c r="C874" s="2" t="s">
        <v>1431</v>
      </c>
      <c r="D874" s="1" t="s">
        <v>1669</v>
      </c>
      <c r="E874">
        <v>1772</v>
      </c>
      <c r="F874">
        <v>1780</v>
      </c>
      <c r="G874">
        <v>1800</v>
      </c>
      <c r="H874">
        <v>3280</v>
      </c>
    </row>
    <row r="875" spans="1:8" x14ac:dyDescent="0.25">
      <c r="A875" s="10">
        <v>855</v>
      </c>
      <c r="B875" t="s">
        <v>1358</v>
      </c>
      <c r="C875" s="2" t="s">
        <v>1432</v>
      </c>
      <c r="D875" s="1" t="s">
        <v>1669</v>
      </c>
      <c r="E875">
        <v>1772</v>
      </c>
      <c r="F875">
        <v>1780</v>
      </c>
      <c r="G875">
        <v>1800</v>
      </c>
      <c r="H875">
        <v>3280</v>
      </c>
    </row>
    <row r="876" spans="1:8" x14ac:dyDescent="0.25">
      <c r="A876" s="10">
        <v>856</v>
      </c>
      <c r="B876" t="s">
        <v>1359</v>
      </c>
      <c r="C876" s="2" t="s">
        <v>1433</v>
      </c>
      <c r="D876" s="1" t="s">
        <v>1669</v>
      </c>
      <c r="E876">
        <v>1772</v>
      </c>
      <c r="F876">
        <v>1780</v>
      </c>
      <c r="G876">
        <v>1800</v>
      </c>
      <c r="H876">
        <v>3280</v>
      </c>
    </row>
    <row r="877" spans="1:8" x14ac:dyDescent="0.25">
      <c r="A877" s="10">
        <v>857</v>
      </c>
      <c r="B877" t="s">
        <v>1360</v>
      </c>
      <c r="C877" s="2" t="s">
        <v>1434</v>
      </c>
      <c r="D877" s="1" t="s">
        <v>1669</v>
      </c>
      <c r="E877">
        <v>1772</v>
      </c>
      <c r="F877">
        <v>1780</v>
      </c>
      <c r="G877">
        <v>1800</v>
      </c>
      <c r="H877">
        <v>3280</v>
      </c>
    </row>
    <row r="878" spans="1:8" x14ac:dyDescent="0.25">
      <c r="A878" s="10">
        <v>858</v>
      </c>
      <c r="B878" t="s">
        <v>1361</v>
      </c>
      <c r="C878" s="2" t="s">
        <v>1435</v>
      </c>
      <c r="D878" s="1" t="s">
        <v>1669</v>
      </c>
      <c r="E878">
        <v>1772</v>
      </c>
      <c r="F878">
        <v>1780</v>
      </c>
      <c r="G878">
        <v>1800</v>
      </c>
      <c r="H878">
        <v>3280</v>
      </c>
    </row>
    <row r="879" spans="1:8" x14ac:dyDescent="0.25">
      <c r="A879" s="10">
        <v>859</v>
      </c>
      <c r="B879" t="s">
        <v>1362</v>
      </c>
      <c r="C879" s="2" t="s">
        <v>1436</v>
      </c>
      <c r="D879" s="1" t="s">
        <v>1669</v>
      </c>
      <c r="E879">
        <v>1772</v>
      </c>
      <c r="F879">
        <v>1780</v>
      </c>
      <c r="G879">
        <v>1800</v>
      </c>
      <c r="H879">
        <v>3280</v>
      </c>
    </row>
    <row r="880" spans="1:8" x14ac:dyDescent="0.25">
      <c r="A880" s="10">
        <v>860</v>
      </c>
      <c r="B880" t="s">
        <v>1363</v>
      </c>
      <c r="C880" s="2" t="s">
        <v>1437</v>
      </c>
      <c r="D880" s="1" t="s">
        <v>1669</v>
      </c>
      <c r="E880">
        <v>1772</v>
      </c>
      <c r="F880">
        <v>1780</v>
      </c>
      <c r="G880">
        <v>1800</v>
      </c>
      <c r="H880">
        <v>3280</v>
      </c>
    </row>
    <row r="881" spans="1:8" x14ac:dyDescent="0.25">
      <c r="A881" s="10">
        <v>861</v>
      </c>
      <c r="B881" t="s">
        <v>1364</v>
      </c>
      <c r="C881" s="2" t="s">
        <v>1438</v>
      </c>
      <c r="D881" s="1" t="s">
        <v>1669</v>
      </c>
      <c r="E881">
        <v>1772</v>
      </c>
      <c r="F881">
        <v>1780</v>
      </c>
      <c r="G881">
        <v>1800</v>
      </c>
      <c r="H881">
        <v>3280</v>
      </c>
    </row>
    <row r="882" spans="1:8" x14ac:dyDescent="0.25">
      <c r="A882" s="10">
        <v>862</v>
      </c>
      <c r="B882" t="s">
        <v>1365</v>
      </c>
      <c r="C882" s="2" t="s">
        <v>1439</v>
      </c>
      <c r="D882" s="1" t="s">
        <v>1669</v>
      </c>
      <c r="E882">
        <v>1772</v>
      </c>
      <c r="F882">
        <v>1780</v>
      </c>
      <c r="G882">
        <v>1800</v>
      </c>
      <c r="H882">
        <v>3280</v>
      </c>
    </row>
    <row r="883" spans="1:8" x14ac:dyDescent="0.25">
      <c r="A883" s="10">
        <v>863</v>
      </c>
      <c r="B883" t="s">
        <v>1366</v>
      </c>
      <c r="C883" s="2" t="s">
        <v>1440</v>
      </c>
      <c r="D883" s="1" t="s">
        <v>1669</v>
      </c>
      <c r="E883">
        <v>1772</v>
      </c>
      <c r="F883">
        <v>1780</v>
      </c>
      <c r="G883">
        <v>1800</v>
      </c>
      <c r="H883">
        <v>3280</v>
      </c>
    </row>
    <row r="884" spans="1:8" x14ac:dyDescent="0.25">
      <c r="A884" s="10">
        <v>864</v>
      </c>
      <c r="B884" t="s">
        <v>1367</v>
      </c>
      <c r="C884" s="2" t="s">
        <v>1441</v>
      </c>
      <c r="D884" s="1" t="s">
        <v>1669</v>
      </c>
      <c r="E884">
        <v>1772</v>
      </c>
      <c r="F884">
        <v>1780</v>
      </c>
      <c r="G884">
        <v>1800</v>
      </c>
      <c r="H884">
        <v>3280</v>
      </c>
    </row>
    <row r="885" spans="1:8" x14ac:dyDescent="0.25">
      <c r="A885" s="10">
        <v>865</v>
      </c>
      <c r="B885" t="s">
        <v>1368</v>
      </c>
      <c r="C885" s="2" t="s">
        <v>1442</v>
      </c>
      <c r="D885" s="1" t="s">
        <v>1669</v>
      </c>
      <c r="E885">
        <v>1772</v>
      </c>
      <c r="F885">
        <v>1780</v>
      </c>
      <c r="G885">
        <v>1800</v>
      </c>
      <c r="H885">
        <v>3280</v>
      </c>
    </row>
    <row r="886" spans="1:8" x14ac:dyDescent="0.25">
      <c r="A886" s="10">
        <v>866</v>
      </c>
      <c r="B886" t="s">
        <v>1369</v>
      </c>
      <c r="C886" s="2" t="s">
        <v>1443</v>
      </c>
      <c r="D886" s="1" t="s">
        <v>1669</v>
      </c>
      <c r="E886">
        <v>1772</v>
      </c>
      <c r="F886">
        <v>1780</v>
      </c>
      <c r="G886">
        <v>1800</v>
      </c>
      <c r="H886">
        <v>3280</v>
      </c>
    </row>
    <row r="887" spans="1:8" x14ac:dyDescent="0.25">
      <c r="A887" s="10">
        <v>867</v>
      </c>
      <c r="B887" t="s">
        <v>1370</v>
      </c>
      <c r="C887" s="2" t="s">
        <v>1444</v>
      </c>
      <c r="D887" s="1" t="s">
        <v>1669</v>
      </c>
      <c r="E887">
        <v>1772</v>
      </c>
      <c r="F887">
        <v>1780</v>
      </c>
      <c r="G887">
        <v>1800</v>
      </c>
      <c r="H887">
        <v>3280</v>
      </c>
    </row>
    <row r="888" spans="1:8" x14ac:dyDescent="0.25">
      <c r="A888" s="10">
        <v>868</v>
      </c>
      <c r="B888" t="s">
        <v>1371</v>
      </c>
      <c r="C888" s="2" t="s">
        <v>1445</v>
      </c>
      <c r="D888" s="1" t="s">
        <v>1669</v>
      </c>
      <c r="E888">
        <v>1772</v>
      </c>
      <c r="F888">
        <v>1780</v>
      </c>
      <c r="G888">
        <v>1800</v>
      </c>
      <c r="H888">
        <v>3280</v>
      </c>
    </row>
    <row r="889" spans="1:8" x14ac:dyDescent="0.25">
      <c r="A889" s="10">
        <v>869</v>
      </c>
      <c r="B889" t="s">
        <v>1372</v>
      </c>
      <c r="C889" s="2" t="s">
        <v>1446</v>
      </c>
      <c r="D889" s="1" t="s">
        <v>1669</v>
      </c>
      <c r="E889">
        <v>1772</v>
      </c>
      <c r="F889">
        <v>1780</v>
      </c>
      <c r="G889">
        <v>1800</v>
      </c>
      <c r="H889">
        <v>3280</v>
      </c>
    </row>
    <row r="890" spans="1:8" x14ac:dyDescent="0.25">
      <c r="C890" s="5"/>
    </row>
    <row r="891" spans="1:8" x14ac:dyDescent="0.25">
      <c r="A891" s="10">
        <v>870</v>
      </c>
      <c r="B891" t="s">
        <v>1299</v>
      </c>
      <c r="C891" s="2" t="s">
        <v>1447</v>
      </c>
      <c r="D891" s="1" t="s">
        <v>1670</v>
      </c>
      <c r="E891">
        <v>6355</v>
      </c>
      <c r="F891">
        <v>6360</v>
      </c>
      <c r="G891">
        <v>6500</v>
      </c>
      <c r="H891">
        <v>11770</v>
      </c>
    </row>
    <row r="892" spans="1:8" x14ac:dyDescent="0.25">
      <c r="A892" s="10">
        <v>880</v>
      </c>
      <c r="B892" t="s">
        <v>1300</v>
      </c>
      <c r="C892" s="2" t="s">
        <v>1448</v>
      </c>
      <c r="D892" s="1" t="s">
        <v>1670</v>
      </c>
      <c r="E892">
        <v>6355</v>
      </c>
      <c r="F892">
        <v>6360</v>
      </c>
      <c r="G892">
        <v>6500</v>
      </c>
      <c r="H892">
        <v>11770</v>
      </c>
    </row>
    <row r="893" spans="1:8" x14ac:dyDescent="0.25">
      <c r="A893" s="10">
        <v>890</v>
      </c>
      <c r="B893" t="s">
        <v>1301</v>
      </c>
      <c r="C893" s="2" t="s">
        <v>1449</v>
      </c>
      <c r="D893" s="1" t="s">
        <v>1670</v>
      </c>
      <c r="E893">
        <v>6355</v>
      </c>
      <c r="F893">
        <v>6360</v>
      </c>
      <c r="G893">
        <v>6500</v>
      </c>
      <c r="H893">
        <v>11770</v>
      </c>
    </row>
    <row r="894" spans="1:8" x14ac:dyDescent="0.25">
      <c r="A894" s="10">
        <v>900</v>
      </c>
      <c r="B894" t="s">
        <v>1302</v>
      </c>
      <c r="C894" s="2" t="s">
        <v>1450</v>
      </c>
      <c r="D894" s="1" t="s">
        <v>1670</v>
      </c>
      <c r="E894">
        <v>6355</v>
      </c>
      <c r="F894">
        <v>6360</v>
      </c>
      <c r="G894">
        <v>6500</v>
      </c>
      <c r="H894">
        <v>11770</v>
      </c>
    </row>
    <row r="895" spans="1:8" x14ac:dyDescent="0.25">
      <c r="A895" s="10">
        <v>910</v>
      </c>
      <c r="B895" t="s">
        <v>1303</v>
      </c>
      <c r="C895" s="2" t="s">
        <v>1451</v>
      </c>
      <c r="D895" s="1" t="s">
        <v>1670</v>
      </c>
      <c r="E895">
        <v>6355</v>
      </c>
      <c r="F895">
        <v>6360</v>
      </c>
      <c r="G895">
        <v>6500</v>
      </c>
      <c r="H895">
        <v>11770</v>
      </c>
    </row>
    <row r="896" spans="1:8" x14ac:dyDescent="0.25">
      <c r="A896" s="10">
        <v>920</v>
      </c>
      <c r="B896" t="s">
        <v>1304</v>
      </c>
      <c r="C896" s="2" t="s">
        <v>1452</v>
      </c>
      <c r="D896" s="1" t="s">
        <v>1670</v>
      </c>
      <c r="E896">
        <v>6355</v>
      </c>
      <c r="F896">
        <v>6360</v>
      </c>
      <c r="G896">
        <v>6500</v>
      </c>
      <c r="H896">
        <v>11770</v>
      </c>
    </row>
    <row r="897" spans="1:8" x14ac:dyDescent="0.25">
      <c r="A897" s="10">
        <v>930</v>
      </c>
      <c r="B897" t="s">
        <v>1305</v>
      </c>
      <c r="C897" s="2" t="s">
        <v>1453</v>
      </c>
      <c r="D897" s="1" t="s">
        <v>1670</v>
      </c>
      <c r="E897">
        <v>6355</v>
      </c>
      <c r="F897">
        <v>6360</v>
      </c>
      <c r="G897">
        <v>6500</v>
      </c>
      <c r="H897">
        <v>11770</v>
      </c>
    </row>
    <row r="898" spans="1:8" x14ac:dyDescent="0.25">
      <c r="A898" s="10">
        <v>940</v>
      </c>
      <c r="B898" t="s">
        <v>1306</v>
      </c>
      <c r="C898" s="2" t="s">
        <v>1454</v>
      </c>
      <c r="D898" s="1" t="s">
        <v>1670</v>
      </c>
      <c r="E898">
        <v>6355</v>
      </c>
      <c r="F898">
        <v>6360</v>
      </c>
      <c r="G898">
        <v>6500</v>
      </c>
      <c r="H898">
        <v>11770</v>
      </c>
    </row>
    <row r="899" spans="1:8" x14ac:dyDescent="0.25">
      <c r="A899" s="10">
        <v>950</v>
      </c>
      <c r="B899" t="s">
        <v>1307</v>
      </c>
      <c r="C899" s="2" t="s">
        <v>1455</v>
      </c>
      <c r="D899" s="1" t="s">
        <v>1670</v>
      </c>
      <c r="E899">
        <v>6355</v>
      </c>
      <c r="F899">
        <v>6360</v>
      </c>
      <c r="G899">
        <v>6500</v>
      </c>
      <c r="H899">
        <v>11770</v>
      </c>
    </row>
    <row r="900" spans="1:8" x14ac:dyDescent="0.25">
      <c r="A900" s="10">
        <v>960</v>
      </c>
      <c r="B900" t="s">
        <v>1308</v>
      </c>
      <c r="C900" s="2" t="s">
        <v>1456</v>
      </c>
      <c r="D900" s="1" t="s">
        <v>1670</v>
      </c>
      <c r="E900">
        <v>6355</v>
      </c>
      <c r="F900">
        <v>6360</v>
      </c>
      <c r="G900">
        <v>6500</v>
      </c>
      <c r="H900">
        <v>11770</v>
      </c>
    </row>
    <row r="901" spans="1:8" x14ac:dyDescent="0.25">
      <c r="A901" s="10">
        <v>970</v>
      </c>
      <c r="B901" t="s">
        <v>1309</v>
      </c>
      <c r="C901" s="2" t="s">
        <v>1457</v>
      </c>
      <c r="D901" s="1" t="s">
        <v>1670</v>
      </c>
      <c r="E901">
        <v>6355</v>
      </c>
      <c r="F901">
        <v>6360</v>
      </c>
      <c r="G901">
        <v>6500</v>
      </c>
      <c r="H901">
        <v>11770</v>
      </c>
    </row>
    <row r="902" spans="1:8" x14ac:dyDescent="0.25">
      <c r="A902" s="10">
        <v>980</v>
      </c>
      <c r="B902" t="s">
        <v>1310</v>
      </c>
      <c r="C902" s="2" t="s">
        <v>1458</v>
      </c>
      <c r="D902" s="1" t="s">
        <v>1670</v>
      </c>
      <c r="E902">
        <v>6355</v>
      </c>
      <c r="F902">
        <v>6360</v>
      </c>
      <c r="G902">
        <v>6500</v>
      </c>
      <c r="H902">
        <v>11770</v>
      </c>
    </row>
    <row r="903" spans="1:8" x14ac:dyDescent="0.25">
      <c r="A903" s="10">
        <v>990</v>
      </c>
      <c r="B903" t="s">
        <v>1311</v>
      </c>
      <c r="C903" s="2" t="s">
        <v>1459</v>
      </c>
      <c r="D903" s="1" t="s">
        <v>1670</v>
      </c>
      <c r="E903">
        <v>6355</v>
      </c>
      <c r="F903">
        <v>6360</v>
      </c>
      <c r="G903">
        <v>6500</v>
      </c>
      <c r="H903">
        <v>11770</v>
      </c>
    </row>
    <row r="904" spans="1:8" x14ac:dyDescent="0.25">
      <c r="A904" s="10">
        <v>1000</v>
      </c>
      <c r="B904" t="s">
        <v>1312</v>
      </c>
      <c r="C904" s="2" t="s">
        <v>1460</v>
      </c>
      <c r="D904" s="1" t="s">
        <v>1670</v>
      </c>
      <c r="E904">
        <v>6355</v>
      </c>
      <c r="F904">
        <v>6360</v>
      </c>
      <c r="G904">
        <v>6500</v>
      </c>
      <c r="H904">
        <v>11770</v>
      </c>
    </row>
    <row r="905" spans="1:8" x14ac:dyDescent="0.25">
      <c r="A905" s="10">
        <v>1010</v>
      </c>
      <c r="B905" t="s">
        <v>1313</v>
      </c>
      <c r="C905" s="2" t="s">
        <v>1461</v>
      </c>
      <c r="D905" s="1" t="s">
        <v>1670</v>
      </c>
      <c r="E905">
        <v>6355</v>
      </c>
      <c r="F905">
        <v>6360</v>
      </c>
      <c r="G905">
        <v>6500</v>
      </c>
      <c r="H905">
        <v>11770</v>
      </c>
    </row>
    <row r="906" spans="1:8" x14ac:dyDescent="0.25">
      <c r="A906" s="10">
        <v>1020</v>
      </c>
      <c r="B906" t="s">
        <v>1314</v>
      </c>
      <c r="C906" s="2" t="s">
        <v>1462</v>
      </c>
      <c r="D906" s="1" t="s">
        <v>1670</v>
      </c>
      <c r="E906">
        <v>6355</v>
      </c>
      <c r="F906">
        <v>6360</v>
      </c>
      <c r="G906">
        <v>6500</v>
      </c>
      <c r="H906">
        <v>11770</v>
      </c>
    </row>
    <row r="907" spans="1:8" x14ac:dyDescent="0.25">
      <c r="A907" s="10">
        <v>1030</v>
      </c>
      <c r="B907" t="s">
        <v>1315</v>
      </c>
      <c r="C907" s="2" t="s">
        <v>1463</v>
      </c>
      <c r="D907" s="1" t="s">
        <v>1670</v>
      </c>
      <c r="E907">
        <v>6355</v>
      </c>
      <c r="F907">
        <v>6360</v>
      </c>
      <c r="G907">
        <v>6500</v>
      </c>
      <c r="H907">
        <v>11770</v>
      </c>
    </row>
    <row r="908" spans="1:8" x14ac:dyDescent="0.25">
      <c r="A908" s="10">
        <v>1040</v>
      </c>
      <c r="B908" t="s">
        <v>1316</v>
      </c>
      <c r="C908" s="2" t="s">
        <v>1464</v>
      </c>
      <c r="D908" s="1" t="s">
        <v>1670</v>
      </c>
      <c r="E908">
        <v>6355</v>
      </c>
      <c r="F908">
        <v>6360</v>
      </c>
      <c r="G908">
        <v>6500</v>
      </c>
      <c r="H908">
        <v>11770</v>
      </c>
    </row>
    <row r="909" spans="1:8" x14ac:dyDescent="0.25">
      <c r="A909" s="10">
        <v>1050</v>
      </c>
      <c r="B909" t="s">
        <v>1317</v>
      </c>
      <c r="C909" s="2" t="s">
        <v>1465</v>
      </c>
      <c r="D909" s="1" t="s">
        <v>1670</v>
      </c>
      <c r="E909">
        <v>6355</v>
      </c>
      <c r="F909">
        <v>6360</v>
      </c>
      <c r="G909">
        <v>6500</v>
      </c>
      <c r="H909">
        <v>11770</v>
      </c>
    </row>
    <row r="910" spans="1:8" x14ac:dyDescent="0.25">
      <c r="A910" s="10">
        <v>1060</v>
      </c>
      <c r="B910" t="s">
        <v>1318</v>
      </c>
      <c r="C910" s="2" t="s">
        <v>1466</v>
      </c>
      <c r="D910" s="1" t="s">
        <v>1670</v>
      </c>
      <c r="E910">
        <v>6355</v>
      </c>
      <c r="F910">
        <v>6360</v>
      </c>
      <c r="G910">
        <v>6500</v>
      </c>
      <c r="H910">
        <v>11770</v>
      </c>
    </row>
    <row r="911" spans="1:8" x14ac:dyDescent="0.25">
      <c r="A911" s="10">
        <v>1070</v>
      </c>
      <c r="B911" t="s">
        <v>1319</v>
      </c>
      <c r="C911" s="2" t="s">
        <v>1467</v>
      </c>
      <c r="D911" s="1" t="s">
        <v>1670</v>
      </c>
      <c r="E911">
        <v>6355</v>
      </c>
      <c r="F911">
        <v>6360</v>
      </c>
      <c r="G911">
        <v>6500</v>
      </c>
      <c r="H911">
        <v>11770</v>
      </c>
    </row>
    <row r="912" spans="1:8" x14ac:dyDescent="0.25">
      <c r="A912" s="10">
        <v>1080</v>
      </c>
      <c r="B912" t="s">
        <v>1320</v>
      </c>
      <c r="C912" s="2" t="s">
        <v>1468</v>
      </c>
      <c r="D912" s="1" t="s">
        <v>1670</v>
      </c>
      <c r="E912">
        <v>6355</v>
      </c>
      <c r="F912">
        <v>6360</v>
      </c>
      <c r="G912">
        <v>6500</v>
      </c>
      <c r="H912">
        <v>11770</v>
      </c>
    </row>
    <row r="913" spans="1:8" x14ac:dyDescent="0.25">
      <c r="A913" s="10">
        <v>1090</v>
      </c>
      <c r="B913" t="s">
        <v>1321</v>
      </c>
      <c r="C913" s="2" t="s">
        <v>1469</v>
      </c>
      <c r="D913" s="1" t="s">
        <v>1670</v>
      </c>
      <c r="E913">
        <v>6355</v>
      </c>
      <c r="F913">
        <v>6360</v>
      </c>
      <c r="G913">
        <v>6500</v>
      </c>
      <c r="H913">
        <v>11770</v>
      </c>
    </row>
    <row r="914" spans="1:8" x14ac:dyDescent="0.25">
      <c r="A914" s="10">
        <v>1100</v>
      </c>
      <c r="B914" t="s">
        <v>1322</v>
      </c>
      <c r="C914" s="2" t="s">
        <v>1470</v>
      </c>
      <c r="D914" s="1" t="s">
        <v>1670</v>
      </c>
      <c r="E914">
        <v>6355</v>
      </c>
      <c r="F914">
        <v>6360</v>
      </c>
      <c r="G914">
        <v>6500</v>
      </c>
      <c r="H914">
        <v>11770</v>
      </c>
    </row>
    <row r="915" spans="1:8" x14ac:dyDescent="0.25">
      <c r="A915" s="10">
        <v>1110</v>
      </c>
      <c r="B915" t="s">
        <v>1323</v>
      </c>
      <c r="C915" s="2" t="s">
        <v>1471</v>
      </c>
      <c r="D915" s="1" t="s">
        <v>1670</v>
      </c>
      <c r="E915">
        <v>6355</v>
      </c>
      <c r="F915">
        <v>6360</v>
      </c>
      <c r="G915">
        <v>6500</v>
      </c>
      <c r="H915">
        <v>11770</v>
      </c>
    </row>
    <row r="916" spans="1:8" x14ac:dyDescent="0.25">
      <c r="A916" s="10">
        <v>1120</v>
      </c>
      <c r="B916" t="s">
        <v>1324</v>
      </c>
      <c r="C916" s="2" t="s">
        <v>1472</v>
      </c>
      <c r="D916" s="1" t="s">
        <v>1670</v>
      </c>
      <c r="E916">
        <v>6355</v>
      </c>
      <c r="F916">
        <v>6360</v>
      </c>
      <c r="G916">
        <v>6500</v>
      </c>
      <c r="H916">
        <v>11770</v>
      </c>
    </row>
    <row r="917" spans="1:8" x14ac:dyDescent="0.25">
      <c r="A917" s="10">
        <v>1130</v>
      </c>
      <c r="B917" t="s">
        <v>1325</v>
      </c>
      <c r="C917" s="2" t="s">
        <v>1473</v>
      </c>
      <c r="D917" s="1" t="s">
        <v>1670</v>
      </c>
      <c r="E917">
        <v>6355</v>
      </c>
      <c r="F917">
        <v>6360</v>
      </c>
      <c r="G917">
        <v>6500</v>
      </c>
      <c r="H917">
        <v>11770</v>
      </c>
    </row>
    <row r="918" spans="1:8" x14ac:dyDescent="0.25">
      <c r="A918" s="10">
        <v>1140</v>
      </c>
      <c r="B918" t="s">
        <v>1326</v>
      </c>
      <c r="C918" s="2" t="s">
        <v>1474</v>
      </c>
      <c r="D918" s="1" t="s">
        <v>1670</v>
      </c>
      <c r="E918">
        <v>6355</v>
      </c>
      <c r="F918">
        <v>6360</v>
      </c>
      <c r="G918">
        <v>6500</v>
      </c>
      <c r="H918">
        <v>11770</v>
      </c>
    </row>
    <row r="919" spans="1:8" x14ac:dyDescent="0.25">
      <c r="A919" s="10">
        <v>1150</v>
      </c>
      <c r="B919" t="s">
        <v>1327</v>
      </c>
      <c r="C919" s="2" t="s">
        <v>1475</v>
      </c>
      <c r="D919" s="1" t="s">
        <v>1670</v>
      </c>
      <c r="E919">
        <v>6355</v>
      </c>
      <c r="F919">
        <v>6360</v>
      </c>
      <c r="G919">
        <v>6500</v>
      </c>
      <c r="H919">
        <v>11770</v>
      </c>
    </row>
    <row r="920" spans="1:8" x14ac:dyDescent="0.25">
      <c r="A920" s="10">
        <v>1160</v>
      </c>
      <c r="B920" t="s">
        <v>1328</v>
      </c>
      <c r="C920" s="2" t="s">
        <v>1476</v>
      </c>
      <c r="D920" s="1" t="s">
        <v>1670</v>
      </c>
      <c r="E920">
        <v>6355</v>
      </c>
      <c r="F920">
        <v>6360</v>
      </c>
      <c r="G920">
        <v>6500</v>
      </c>
      <c r="H920">
        <v>11770</v>
      </c>
    </row>
    <row r="921" spans="1:8" x14ac:dyDescent="0.25">
      <c r="A921" s="10">
        <v>1170</v>
      </c>
      <c r="B921" t="s">
        <v>1329</v>
      </c>
      <c r="C921" s="2" t="s">
        <v>1477</v>
      </c>
      <c r="D921" s="1" t="s">
        <v>1670</v>
      </c>
      <c r="E921">
        <v>6355</v>
      </c>
      <c r="F921">
        <v>6360</v>
      </c>
      <c r="G921">
        <v>6500</v>
      </c>
      <c r="H921">
        <v>11770</v>
      </c>
    </row>
    <row r="922" spans="1:8" x14ac:dyDescent="0.25">
      <c r="A922" s="10">
        <v>1180</v>
      </c>
      <c r="B922" t="s">
        <v>1330</v>
      </c>
      <c r="C922" s="2" t="s">
        <v>1478</v>
      </c>
      <c r="D922" s="1" t="s">
        <v>1670</v>
      </c>
      <c r="E922">
        <v>6355</v>
      </c>
      <c r="F922">
        <v>6360</v>
      </c>
      <c r="G922">
        <v>6500</v>
      </c>
      <c r="H922">
        <v>11770</v>
      </c>
    </row>
    <row r="923" spans="1:8" x14ac:dyDescent="0.25">
      <c r="A923" s="10">
        <v>1190</v>
      </c>
      <c r="B923" t="s">
        <v>1331</v>
      </c>
      <c r="C923" s="2" t="s">
        <v>1479</v>
      </c>
      <c r="D923" s="1" t="s">
        <v>1670</v>
      </c>
      <c r="E923">
        <v>6355</v>
      </c>
      <c r="F923">
        <v>6360</v>
      </c>
      <c r="G923">
        <v>6500</v>
      </c>
      <c r="H923">
        <v>11770</v>
      </c>
    </row>
    <row r="924" spans="1:8" x14ac:dyDescent="0.25">
      <c r="A924" s="10">
        <v>1200</v>
      </c>
      <c r="B924" t="s">
        <v>1332</v>
      </c>
      <c r="C924" s="2" t="s">
        <v>1480</v>
      </c>
      <c r="D924" s="1" t="s">
        <v>1670</v>
      </c>
      <c r="E924">
        <v>6355</v>
      </c>
      <c r="F924">
        <v>6360</v>
      </c>
      <c r="G924">
        <v>6500</v>
      </c>
      <c r="H924">
        <v>11770</v>
      </c>
    </row>
    <row r="925" spans="1:8" x14ac:dyDescent="0.25">
      <c r="A925" s="10">
        <v>1210</v>
      </c>
      <c r="B925" t="s">
        <v>1333</v>
      </c>
      <c r="C925" s="2" t="s">
        <v>1481</v>
      </c>
      <c r="D925" s="1" t="s">
        <v>1670</v>
      </c>
      <c r="E925">
        <v>6355</v>
      </c>
      <c r="F925">
        <v>6360</v>
      </c>
      <c r="G925">
        <v>6500</v>
      </c>
      <c r="H925">
        <v>11770</v>
      </c>
    </row>
    <row r="926" spans="1:8" x14ac:dyDescent="0.25">
      <c r="A926" s="10">
        <v>1220</v>
      </c>
      <c r="B926" t="s">
        <v>1334</v>
      </c>
      <c r="C926" s="2" t="s">
        <v>1482</v>
      </c>
      <c r="D926" s="1" t="s">
        <v>1670</v>
      </c>
      <c r="E926">
        <v>6355</v>
      </c>
      <c r="F926">
        <v>6360</v>
      </c>
      <c r="G926">
        <v>6500</v>
      </c>
      <c r="H926">
        <v>11770</v>
      </c>
    </row>
    <row r="927" spans="1:8" x14ac:dyDescent="0.25">
      <c r="A927" s="10">
        <v>1230</v>
      </c>
      <c r="B927" t="s">
        <v>1335</v>
      </c>
      <c r="C927" s="2" t="s">
        <v>1483</v>
      </c>
      <c r="D927" s="1" t="s">
        <v>1670</v>
      </c>
      <c r="E927">
        <v>6355</v>
      </c>
      <c r="F927">
        <v>6360</v>
      </c>
      <c r="G927">
        <v>6500</v>
      </c>
      <c r="H927">
        <v>11770</v>
      </c>
    </row>
    <row r="928" spans="1:8" x14ac:dyDescent="0.25">
      <c r="A928" s="10">
        <v>1240</v>
      </c>
      <c r="B928" t="s">
        <v>1336</v>
      </c>
      <c r="C928" s="2" t="s">
        <v>1484</v>
      </c>
      <c r="D928" s="1" t="s">
        <v>1670</v>
      </c>
      <c r="E928">
        <v>6355</v>
      </c>
      <c r="F928">
        <v>6360</v>
      </c>
      <c r="G928">
        <v>6500</v>
      </c>
      <c r="H928">
        <v>11770</v>
      </c>
    </row>
    <row r="929" spans="1:8" x14ac:dyDescent="0.25">
      <c r="A929" s="10">
        <v>1250</v>
      </c>
      <c r="B929" t="s">
        <v>1337</v>
      </c>
      <c r="C929" s="2" t="s">
        <v>1485</v>
      </c>
      <c r="D929" s="1" t="s">
        <v>1670</v>
      </c>
      <c r="E929">
        <v>6355</v>
      </c>
      <c r="F929">
        <v>6360</v>
      </c>
      <c r="G929">
        <v>6500</v>
      </c>
      <c r="H929">
        <v>11770</v>
      </c>
    </row>
    <row r="930" spans="1:8" x14ac:dyDescent="0.25">
      <c r="A930" s="10">
        <v>1260</v>
      </c>
      <c r="B930" t="s">
        <v>1338</v>
      </c>
      <c r="C930" s="2" t="s">
        <v>1486</v>
      </c>
      <c r="D930" s="1" t="s">
        <v>1670</v>
      </c>
      <c r="E930">
        <v>6355</v>
      </c>
      <c r="F930">
        <v>6360</v>
      </c>
      <c r="G930">
        <v>6500</v>
      </c>
      <c r="H930">
        <v>11770</v>
      </c>
    </row>
    <row r="931" spans="1:8" x14ac:dyDescent="0.25">
      <c r="A931" s="10">
        <v>1270</v>
      </c>
      <c r="B931" t="s">
        <v>1339</v>
      </c>
      <c r="C931" s="2" t="s">
        <v>1487</v>
      </c>
      <c r="D931" s="1" t="s">
        <v>1670</v>
      </c>
      <c r="E931">
        <v>6355</v>
      </c>
      <c r="F931">
        <v>6360</v>
      </c>
      <c r="G931">
        <v>6500</v>
      </c>
      <c r="H931">
        <v>11770</v>
      </c>
    </row>
    <row r="932" spans="1:8" x14ac:dyDescent="0.25">
      <c r="A932" s="10">
        <v>1280</v>
      </c>
      <c r="B932" t="s">
        <v>1340</v>
      </c>
      <c r="C932" s="2" t="s">
        <v>1488</v>
      </c>
      <c r="D932" s="1" t="s">
        <v>1670</v>
      </c>
      <c r="E932">
        <v>6355</v>
      </c>
      <c r="F932">
        <v>6360</v>
      </c>
      <c r="G932">
        <v>6500</v>
      </c>
      <c r="H932">
        <v>11770</v>
      </c>
    </row>
    <row r="933" spans="1:8" x14ac:dyDescent="0.25">
      <c r="A933" s="10">
        <v>1290</v>
      </c>
      <c r="B933" t="s">
        <v>1341</v>
      </c>
      <c r="C933" s="2" t="s">
        <v>1489</v>
      </c>
      <c r="D933" s="1" t="s">
        <v>1670</v>
      </c>
      <c r="E933">
        <v>6355</v>
      </c>
      <c r="F933">
        <v>6360</v>
      </c>
      <c r="G933">
        <v>6500</v>
      </c>
      <c r="H933">
        <v>11770</v>
      </c>
    </row>
    <row r="934" spans="1:8" x14ac:dyDescent="0.25">
      <c r="A934" s="10">
        <v>1300</v>
      </c>
      <c r="B934" t="s">
        <v>1342</v>
      </c>
      <c r="C934" s="2" t="s">
        <v>1490</v>
      </c>
      <c r="D934" s="1" t="s">
        <v>1670</v>
      </c>
      <c r="E934">
        <v>6355</v>
      </c>
      <c r="F934">
        <v>6360</v>
      </c>
      <c r="G934">
        <v>6500</v>
      </c>
      <c r="H934">
        <v>11770</v>
      </c>
    </row>
    <row r="935" spans="1:8" x14ac:dyDescent="0.25">
      <c r="A935" s="10">
        <v>1310</v>
      </c>
      <c r="B935" t="s">
        <v>1343</v>
      </c>
      <c r="C935" s="2" t="s">
        <v>1491</v>
      </c>
      <c r="D935" s="1" t="s">
        <v>1670</v>
      </c>
      <c r="E935">
        <v>6355</v>
      </c>
      <c r="F935">
        <v>6360</v>
      </c>
      <c r="G935">
        <v>6500</v>
      </c>
      <c r="H935">
        <v>11770</v>
      </c>
    </row>
    <row r="936" spans="1:8" x14ac:dyDescent="0.25">
      <c r="A936" s="10">
        <v>1320</v>
      </c>
      <c r="B936" t="s">
        <v>1344</v>
      </c>
      <c r="C936" s="2" t="s">
        <v>1492</v>
      </c>
      <c r="D936" s="1" t="s">
        <v>1670</v>
      </c>
      <c r="E936">
        <v>6355</v>
      </c>
      <c r="F936">
        <v>6360</v>
      </c>
      <c r="G936">
        <v>6500</v>
      </c>
      <c r="H936">
        <v>11770</v>
      </c>
    </row>
    <row r="937" spans="1:8" x14ac:dyDescent="0.25">
      <c r="A937" s="10">
        <v>1330</v>
      </c>
      <c r="B937" t="s">
        <v>1345</v>
      </c>
      <c r="C937" s="2" t="s">
        <v>1493</v>
      </c>
      <c r="D937" s="1" t="s">
        <v>1670</v>
      </c>
      <c r="E937">
        <v>6355</v>
      </c>
      <c r="F937">
        <v>6360</v>
      </c>
      <c r="G937">
        <v>6500</v>
      </c>
      <c r="H937">
        <v>11770</v>
      </c>
    </row>
    <row r="938" spans="1:8" x14ac:dyDescent="0.25">
      <c r="A938" s="10">
        <v>1340</v>
      </c>
      <c r="B938" t="s">
        <v>1346</v>
      </c>
      <c r="C938" s="2" t="s">
        <v>1494</v>
      </c>
      <c r="D938" s="1" t="s">
        <v>1670</v>
      </c>
      <c r="E938">
        <v>6355</v>
      </c>
      <c r="F938">
        <v>6360</v>
      </c>
      <c r="G938">
        <v>6500</v>
      </c>
      <c r="H938">
        <v>11770</v>
      </c>
    </row>
    <row r="939" spans="1:8" x14ac:dyDescent="0.25">
      <c r="A939" s="10">
        <v>1350</v>
      </c>
      <c r="B939" t="s">
        <v>1347</v>
      </c>
      <c r="C939" s="2" t="s">
        <v>1495</v>
      </c>
      <c r="D939" s="1" t="s">
        <v>1670</v>
      </c>
      <c r="E939">
        <v>6355</v>
      </c>
      <c r="F939">
        <v>6360</v>
      </c>
      <c r="G939">
        <v>6500</v>
      </c>
      <c r="H939">
        <v>11770</v>
      </c>
    </row>
    <row r="940" spans="1:8" x14ac:dyDescent="0.25">
      <c r="A940" s="10">
        <v>1360</v>
      </c>
      <c r="B940" t="s">
        <v>1348</v>
      </c>
      <c r="C940" s="2" t="s">
        <v>1496</v>
      </c>
      <c r="D940" s="1" t="s">
        <v>1670</v>
      </c>
      <c r="E940">
        <v>6355</v>
      </c>
      <c r="F940">
        <v>6360</v>
      </c>
      <c r="G940">
        <v>6500</v>
      </c>
      <c r="H940">
        <v>11770</v>
      </c>
    </row>
    <row r="941" spans="1:8" x14ac:dyDescent="0.25">
      <c r="A941" s="10">
        <v>1370</v>
      </c>
      <c r="B941" t="s">
        <v>1349</v>
      </c>
      <c r="C941" s="2" t="s">
        <v>1497</v>
      </c>
      <c r="D941" s="1" t="s">
        <v>1670</v>
      </c>
      <c r="E941">
        <v>6355</v>
      </c>
      <c r="F941">
        <v>6360</v>
      </c>
      <c r="G941">
        <v>6500</v>
      </c>
      <c r="H941">
        <v>11770</v>
      </c>
    </row>
    <row r="942" spans="1:8" x14ac:dyDescent="0.25">
      <c r="A942" s="10">
        <v>1380</v>
      </c>
      <c r="B942" t="s">
        <v>1350</v>
      </c>
      <c r="C942" s="2" t="s">
        <v>1498</v>
      </c>
      <c r="D942" s="1" t="s">
        <v>1670</v>
      </c>
      <c r="E942">
        <v>6355</v>
      </c>
      <c r="F942">
        <v>6360</v>
      </c>
      <c r="G942">
        <v>6500</v>
      </c>
      <c r="H942">
        <v>11770</v>
      </c>
    </row>
    <row r="943" spans="1:8" x14ac:dyDescent="0.25">
      <c r="A943" s="10">
        <v>1390</v>
      </c>
      <c r="B943" t="s">
        <v>1351</v>
      </c>
      <c r="C943" s="2" t="s">
        <v>1499</v>
      </c>
      <c r="D943" s="1" t="s">
        <v>1670</v>
      </c>
      <c r="E943">
        <v>6355</v>
      </c>
      <c r="F943">
        <v>6360</v>
      </c>
      <c r="G943">
        <v>6500</v>
      </c>
      <c r="H943">
        <v>11770</v>
      </c>
    </row>
    <row r="944" spans="1:8" x14ac:dyDescent="0.25">
      <c r="A944" s="10">
        <v>1400</v>
      </c>
      <c r="B944" t="s">
        <v>1352</v>
      </c>
      <c r="C944" s="2" t="s">
        <v>1500</v>
      </c>
      <c r="D944" s="1" t="s">
        <v>1670</v>
      </c>
      <c r="E944">
        <v>6355</v>
      </c>
      <c r="F944">
        <v>6360</v>
      </c>
      <c r="G944">
        <v>6500</v>
      </c>
      <c r="H944">
        <v>11770</v>
      </c>
    </row>
    <row r="945" spans="1:8" x14ac:dyDescent="0.25">
      <c r="A945" s="10">
        <v>1410</v>
      </c>
      <c r="B945" t="s">
        <v>1353</v>
      </c>
      <c r="C945" s="2" t="s">
        <v>1501</v>
      </c>
      <c r="D945" s="1" t="s">
        <v>1670</v>
      </c>
      <c r="E945">
        <v>6355</v>
      </c>
      <c r="F945">
        <v>6360</v>
      </c>
      <c r="G945">
        <v>6500</v>
      </c>
      <c r="H945">
        <v>11770</v>
      </c>
    </row>
    <row r="946" spans="1:8" x14ac:dyDescent="0.25">
      <c r="A946" s="10">
        <v>1420</v>
      </c>
      <c r="B946" t="s">
        <v>1354</v>
      </c>
      <c r="C946" s="2" t="s">
        <v>1502</v>
      </c>
      <c r="D946" s="1" t="s">
        <v>1670</v>
      </c>
      <c r="E946">
        <v>6355</v>
      </c>
      <c r="F946">
        <v>6360</v>
      </c>
      <c r="G946">
        <v>6500</v>
      </c>
      <c r="H946">
        <v>11770</v>
      </c>
    </row>
    <row r="947" spans="1:8" x14ac:dyDescent="0.25">
      <c r="A947" s="10">
        <v>1430</v>
      </c>
      <c r="B947" t="s">
        <v>1355</v>
      </c>
      <c r="C947" s="2" t="s">
        <v>1503</v>
      </c>
      <c r="D947" s="1" t="s">
        <v>1670</v>
      </c>
      <c r="E947">
        <v>6355</v>
      </c>
      <c r="F947">
        <v>6360</v>
      </c>
      <c r="G947">
        <v>6500</v>
      </c>
      <c r="H947">
        <v>11770</v>
      </c>
    </row>
    <row r="948" spans="1:8" x14ac:dyDescent="0.25">
      <c r="A948" s="10">
        <v>1440</v>
      </c>
      <c r="B948" t="s">
        <v>1356</v>
      </c>
      <c r="C948" s="2" t="s">
        <v>1504</v>
      </c>
      <c r="D948" s="1" t="s">
        <v>1670</v>
      </c>
      <c r="E948">
        <v>6355</v>
      </c>
      <c r="F948">
        <v>6360</v>
      </c>
      <c r="G948">
        <v>6500</v>
      </c>
      <c r="H948">
        <v>11770</v>
      </c>
    </row>
    <row r="949" spans="1:8" x14ac:dyDescent="0.25">
      <c r="A949" s="10">
        <v>1450</v>
      </c>
      <c r="B949" t="s">
        <v>1357</v>
      </c>
      <c r="C949" s="2" t="s">
        <v>1505</v>
      </c>
      <c r="D949" s="1" t="s">
        <v>1670</v>
      </c>
      <c r="E949">
        <v>6355</v>
      </c>
      <c r="F949">
        <v>6360</v>
      </c>
      <c r="G949">
        <v>6500</v>
      </c>
      <c r="H949">
        <v>11770</v>
      </c>
    </row>
    <row r="950" spans="1:8" x14ac:dyDescent="0.25">
      <c r="A950" s="10">
        <v>1460</v>
      </c>
      <c r="B950" t="s">
        <v>1358</v>
      </c>
      <c r="C950" s="2" t="s">
        <v>1506</v>
      </c>
      <c r="D950" s="1" t="s">
        <v>1670</v>
      </c>
      <c r="E950">
        <v>6355</v>
      </c>
      <c r="F950">
        <v>6360</v>
      </c>
      <c r="G950">
        <v>6500</v>
      </c>
      <c r="H950">
        <v>11770</v>
      </c>
    </row>
    <row r="951" spans="1:8" x14ac:dyDescent="0.25">
      <c r="A951" s="10">
        <v>1470</v>
      </c>
      <c r="B951" t="s">
        <v>1359</v>
      </c>
      <c r="C951" s="2" t="s">
        <v>1507</v>
      </c>
      <c r="D951" s="1" t="s">
        <v>1670</v>
      </c>
      <c r="E951">
        <v>6355</v>
      </c>
      <c r="F951">
        <v>6360</v>
      </c>
      <c r="G951">
        <v>6500</v>
      </c>
      <c r="H951">
        <v>11770</v>
      </c>
    </row>
    <row r="952" spans="1:8" x14ac:dyDescent="0.25">
      <c r="A952" s="10">
        <v>1480</v>
      </c>
      <c r="B952" t="s">
        <v>1360</v>
      </c>
      <c r="C952" s="2" t="s">
        <v>1508</v>
      </c>
      <c r="D952" s="1" t="s">
        <v>1670</v>
      </c>
      <c r="E952">
        <v>6355</v>
      </c>
      <c r="F952">
        <v>6360</v>
      </c>
      <c r="G952">
        <v>6500</v>
      </c>
      <c r="H952">
        <v>11770</v>
      </c>
    </row>
    <row r="953" spans="1:8" x14ac:dyDescent="0.25">
      <c r="A953" s="10">
        <v>1490</v>
      </c>
      <c r="B953" t="s">
        <v>1361</v>
      </c>
      <c r="C953" s="2" t="s">
        <v>1509</v>
      </c>
      <c r="D953" s="1" t="s">
        <v>1670</v>
      </c>
      <c r="E953">
        <v>6355</v>
      </c>
      <c r="F953">
        <v>6360</v>
      </c>
      <c r="G953">
        <v>6500</v>
      </c>
      <c r="H953">
        <v>11770</v>
      </c>
    </row>
    <row r="954" spans="1:8" x14ac:dyDescent="0.25">
      <c r="A954" s="10">
        <v>1500</v>
      </c>
      <c r="B954" t="s">
        <v>1362</v>
      </c>
      <c r="C954" s="2" t="s">
        <v>1510</v>
      </c>
      <c r="D954" s="1" t="s">
        <v>1670</v>
      </c>
      <c r="E954">
        <v>6355</v>
      </c>
      <c r="F954">
        <v>6360</v>
      </c>
      <c r="G954">
        <v>6500</v>
      </c>
      <c r="H954">
        <v>11770</v>
      </c>
    </row>
    <row r="955" spans="1:8" x14ac:dyDescent="0.25">
      <c r="A955" s="10">
        <v>1510</v>
      </c>
      <c r="B955" t="s">
        <v>1363</v>
      </c>
      <c r="C955" s="2" t="s">
        <v>1511</v>
      </c>
      <c r="D955" s="1" t="s">
        <v>1670</v>
      </c>
      <c r="E955">
        <v>6355</v>
      </c>
      <c r="F955">
        <v>6360</v>
      </c>
      <c r="G955">
        <v>6500</v>
      </c>
      <c r="H955">
        <v>11770</v>
      </c>
    </row>
    <row r="956" spans="1:8" x14ac:dyDescent="0.25">
      <c r="A956" s="10">
        <v>1520</v>
      </c>
      <c r="B956" t="s">
        <v>1364</v>
      </c>
      <c r="C956" s="2" t="s">
        <v>1512</v>
      </c>
      <c r="D956" s="1" t="s">
        <v>1670</v>
      </c>
      <c r="E956">
        <v>6355</v>
      </c>
      <c r="F956">
        <v>6360</v>
      </c>
      <c r="G956">
        <v>6500</v>
      </c>
      <c r="H956">
        <v>11770</v>
      </c>
    </row>
    <row r="957" spans="1:8" x14ac:dyDescent="0.25">
      <c r="A957" s="10">
        <v>1530</v>
      </c>
      <c r="B957" t="s">
        <v>1365</v>
      </c>
      <c r="C957" s="2" t="s">
        <v>1513</v>
      </c>
      <c r="D957" s="1" t="s">
        <v>1670</v>
      </c>
      <c r="E957">
        <v>6355</v>
      </c>
      <c r="F957">
        <v>6360</v>
      </c>
      <c r="G957">
        <v>6500</v>
      </c>
      <c r="H957">
        <v>11770</v>
      </c>
    </row>
    <row r="958" spans="1:8" x14ac:dyDescent="0.25">
      <c r="A958" s="10">
        <v>1540</v>
      </c>
      <c r="B958" t="s">
        <v>1366</v>
      </c>
      <c r="C958" s="2" t="s">
        <v>1514</v>
      </c>
      <c r="D958" s="1" t="s">
        <v>1670</v>
      </c>
      <c r="E958">
        <v>6355</v>
      </c>
      <c r="F958">
        <v>6360</v>
      </c>
      <c r="G958">
        <v>6500</v>
      </c>
      <c r="H958">
        <v>11770</v>
      </c>
    </row>
    <row r="959" spans="1:8" x14ac:dyDescent="0.25">
      <c r="A959" s="10">
        <v>1550</v>
      </c>
      <c r="B959" t="s">
        <v>1367</v>
      </c>
      <c r="C959" s="2" t="s">
        <v>1515</v>
      </c>
      <c r="D959" s="1" t="s">
        <v>1670</v>
      </c>
      <c r="E959">
        <v>6355</v>
      </c>
      <c r="F959">
        <v>6360</v>
      </c>
      <c r="G959">
        <v>6500</v>
      </c>
      <c r="H959">
        <v>11770</v>
      </c>
    </row>
    <row r="960" spans="1:8" x14ac:dyDescent="0.25">
      <c r="A960" s="10">
        <v>1560</v>
      </c>
      <c r="B960" t="s">
        <v>1368</v>
      </c>
      <c r="C960" s="2" t="s">
        <v>1516</v>
      </c>
      <c r="D960" s="1" t="s">
        <v>1670</v>
      </c>
      <c r="E960">
        <v>6355</v>
      </c>
      <c r="F960">
        <v>6360</v>
      </c>
      <c r="G960">
        <v>6500</v>
      </c>
      <c r="H960">
        <v>11770</v>
      </c>
    </row>
    <row r="961" spans="1:8" x14ac:dyDescent="0.25">
      <c r="A961" s="10">
        <v>1570</v>
      </c>
      <c r="B961" t="s">
        <v>1369</v>
      </c>
      <c r="C961" s="2" t="s">
        <v>1517</v>
      </c>
      <c r="D961" s="1" t="s">
        <v>1670</v>
      </c>
      <c r="E961">
        <v>6355</v>
      </c>
      <c r="F961">
        <v>6360</v>
      </c>
      <c r="G961">
        <v>6500</v>
      </c>
      <c r="H961">
        <v>11770</v>
      </c>
    </row>
    <row r="962" spans="1:8" x14ac:dyDescent="0.25">
      <c r="A962" s="10">
        <v>1580</v>
      </c>
      <c r="B962" t="s">
        <v>1370</v>
      </c>
      <c r="C962" s="2" t="s">
        <v>1518</v>
      </c>
      <c r="D962" s="1" t="s">
        <v>1670</v>
      </c>
      <c r="E962">
        <v>6355</v>
      </c>
      <c r="F962">
        <v>6360</v>
      </c>
      <c r="G962">
        <v>6500</v>
      </c>
      <c r="H962">
        <v>11770</v>
      </c>
    </row>
    <row r="963" spans="1:8" x14ac:dyDescent="0.25">
      <c r="A963" s="10">
        <v>1590</v>
      </c>
      <c r="B963" t="s">
        <v>1371</v>
      </c>
      <c r="C963" s="2" t="s">
        <v>1519</v>
      </c>
      <c r="D963" s="1" t="s">
        <v>1670</v>
      </c>
      <c r="E963">
        <v>6355</v>
      </c>
      <c r="F963">
        <v>6360</v>
      </c>
      <c r="G963">
        <v>6500</v>
      </c>
      <c r="H963">
        <v>11770</v>
      </c>
    </row>
    <row r="964" spans="1:8" x14ac:dyDescent="0.25">
      <c r="A964" s="10">
        <v>1600</v>
      </c>
      <c r="B964" t="s">
        <v>1372</v>
      </c>
      <c r="C964" s="2" t="s">
        <v>1520</v>
      </c>
      <c r="D964" s="1" t="s">
        <v>1670</v>
      </c>
      <c r="E964">
        <v>6355</v>
      </c>
      <c r="F964">
        <v>6360</v>
      </c>
      <c r="G964">
        <v>6500</v>
      </c>
      <c r="H964">
        <v>11770</v>
      </c>
    </row>
    <row r="965" spans="1:8" x14ac:dyDescent="0.25">
      <c r="C965" s="5"/>
    </row>
    <row r="966" spans="1:8" x14ac:dyDescent="0.25">
      <c r="A966" s="10">
        <v>1601</v>
      </c>
      <c r="B966" t="s">
        <v>1299</v>
      </c>
      <c r="C966" s="2" t="s">
        <v>1521</v>
      </c>
      <c r="D966" s="1" t="s">
        <v>1671</v>
      </c>
      <c r="E966">
        <v>15940</v>
      </c>
      <c r="F966">
        <v>16000</v>
      </c>
      <c r="G966">
        <v>16500</v>
      </c>
      <c r="H966">
        <v>28260</v>
      </c>
    </row>
    <row r="967" spans="1:8" x14ac:dyDescent="0.25">
      <c r="A967" s="10">
        <v>1602</v>
      </c>
      <c r="B967" t="s">
        <v>1300</v>
      </c>
      <c r="C967" s="2" t="s">
        <v>1522</v>
      </c>
      <c r="D967" s="1" t="s">
        <v>1671</v>
      </c>
      <c r="E967">
        <v>15940</v>
      </c>
      <c r="F967">
        <v>16000</v>
      </c>
      <c r="G967">
        <v>16500</v>
      </c>
      <c r="H967">
        <v>28260</v>
      </c>
    </row>
    <row r="968" spans="1:8" x14ac:dyDescent="0.25">
      <c r="A968" s="10">
        <v>1603</v>
      </c>
      <c r="B968" t="s">
        <v>1301</v>
      </c>
      <c r="C968" s="2" t="s">
        <v>1523</v>
      </c>
      <c r="D968" s="1" t="s">
        <v>1671</v>
      </c>
      <c r="E968">
        <v>15940</v>
      </c>
      <c r="F968">
        <v>16000</v>
      </c>
      <c r="G968">
        <v>16500</v>
      </c>
      <c r="H968">
        <v>28260</v>
      </c>
    </row>
    <row r="969" spans="1:8" x14ac:dyDescent="0.25">
      <c r="A969" s="10">
        <v>1604</v>
      </c>
      <c r="B969" t="s">
        <v>1302</v>
      </c>
      <c r="C969" s="2" t="s">
        <v>1524</v>
      </c>
      <c r="D969" s="1" t="s">
        <v>1671</v>
      </c>
      <c r="E969">
        <v>15940</v>
      </c>
      <c r="F969">
        <v>16000</v>
      </c>
      <c r="G969">
        <v>16500</v>
      </c>
      <c r="H969">
        <v>28260</v>
      </c>
    </row>
    <row r="970" spans="1:8" x14ac:dyDescent="0.25">
      <c r="A970" s="10">
        <v>1605</v>
      </c>
      <c r="B970" t="s">
        <v>1303</v>
      </c>
      <c r="C970" s="2" t="s">
        <v>1525</v>
      </c>
      <c r="D970" s="1" t="s">
        <v>1671</v>
      </c>
      <c r="E970">
        <v>15940</v>
      </c>
      <c r="F970">
        <v>16000</v>
      </c>
      <c r="G970">
        <v>16500</v>
      </c>
      <c r="H970">
        <v>28260</v>
      </c>
    </row>
    <row r="971" spans="1:8" x14ac:dyDescent="0.25">
      <c r="A971" s="10">
        <v>1606</v>
      </c>
      <c r="B971" t="s">
        <v>1304</v>
      </c>
      <c r="C971" s="2" t="s">
        <v>1526</v>
      </c>
      <c r="D971" s="1" t="s">
        <v>1671</v>
      </c>
      <c r="E971">
        <v>15940</v>
      </c>
      <c r="F971">
        <v>16000</v>
      </c>
      <c r="G971">
        <v>16500</v>
      </c>
      <c r="H971">
        <v>28260</v>
      </c>
    </row>
    <row r="972" spans="1:8" x14ac:dyDescent="0.25">
      <c r="A972" s="10">
        <v>1607</v>
      </c>
      <c r="B972" t="s">
        <v>1305</v>
      </c>
      <c r="C972" s="2" t="s">
        <v>1527</v>
      </c>
      <c r="D972" s="1" t="s">
        <v>1671</v>
      </c>
      <c r="E972">
        <v>15940</v>
      </c>
      <c r="F972">
        <v>16000</v>
      </c>
      <c r="G972">
        <v>16500</v>
      </c>
      <c r="H972">
        <v>28260</v>
      </c>
    </row>
    <row r="973" spans="1:8" x14ac:dyDescent="0.25">
      <c r="A973" s="10">
        <v>1608</v>
      </c>
      <c r="B973" t="s">
        <v>1306</v>
      </c>
      <c r="C973" s="2" t="s">
        <v>1528</v>
      </c>
      <c r="D973" s="1" t="s">
        <v>1671</v>
      </c>
      <c r="E973">
        <v>15940</v>
      </c>
      <c r="F973">
        <v>16000</v>
      </c>
      <c r="G973">
        <v>16500</v>
      </c>
      <c r="H973">
        <v>28260</v>
      </c>
    </row>
    <row r="974" spans="1:8" x14ac:dyDescent="0.25">
      <c r="A974" s="10">
        <v>1609</v>
      </c>
      <c r="B974" t="s">
        <v>1307</v>
      </c>
      <c r="C974" s="2" t="s">
        <v>1594</v>
      </c>
      <c r="D974" s="1" t="s">
        <v>1671</v>
      </c>
      <c r="E974">
        <v>15940</v>
      </c>
      <c r="F974">
        <v>16000</v>
      </c>
      <c r="G974">
        <v>16500</v>
      </c>
      <c r="H974">
        <v>28260</v>
      </c>
    </row>
    <row r="975" spans="1:8" x14ac:dyDescent="0.25">
      <c r="A975" s="10">
        <v>1610</v>
      </c>
      <c r="B975" t="s">
        <v>1308</v>
      </c>
      <c r="C975" s="2" t="s">
        <v>1593</v>
      </c>
      <c r="D975" s="1" t="s">
        <v>1671</v>
      </c>
      <c r="E975">
        <v>15940</v>
      </c>
      <c r="F975">
        <v>16000</v>
      </c>
      <c r="G975">
        <v>16500</v>
      </c>
      <c r="H975">
        <v>28260</v>
      </c>
    </row>
    <row r="976" spans="1:8" x14ac:dyDescent="0.25">
      <c r="A976" s="10">
        <v>1611</v>
      </c>
      <c r="B976" t="s">
        <v>1309</v>
      </c>
      <c r="C976" s="2" t="s">
        <v>1592</v>
      </c>
      <c r="D976" s="1" t="s">
        <v>1671</v>
      </c>
      <c r="E976">
        <v>15940</v>
      </c>
      <c r="F976">
        <v>16000</v>
      </c>
      <c r="G976">
        <v>16500</v>
      </c>
      <c r="H976">
        <v>28260</v>
      </c>
    </row>
    <row r="977" spans="1:8" x14ac:dyDescent="0.25">
      <c r="A977" s="10">
        <v>1612</v>
      </c>
      <c r="B977" t="s">
        <v>1310</v>
      </c>
      <c r="C977" s="2" t="s">
        <v>1591</v>
      </c>
      <c r="D977" s="1" t="s">
        <v>1671</v>
      </c>
      <c r="E977">
        <v>15940</v>
      </c>
      <c r="F977">
        <v>16000</v>
      </c>
      <c r="G977">
        <v>16500</v>
      </c>
      <c r="H977">
        <v>28260</v>
      </c>
    </row>
    <row r="978" spans="1:8" x14ac:dyDescent="0.25">
      <c r="A978" s="10">
        <v>1613</v>
      </c>
      <c r="B978" t="s">
        <v>1311</v>
      </c>
      <c r="C978" s="2" t="s">
        <v>1590</v>
      </c>
      <c r="D978" s="1" t="s">
        <v>1671</v>
      </c>
      <c r="E978">
        <v>15940</v>
      </c>
      <c r="F978">
        <v>16000</v>
      </c>
      <c r="G978">
        <v>16500</v>
      </c>
      <c r="H978">
        <v>28260</v>
      </c>
    </row>
    <row r="979" spans="1:8" x14ac:dyDescent="0.25">
      <c r="A979" s="10">
        <v>1614</v>
      </c>
      <c r="B979" t="s">
        <v>1312</v>
      </c>
      <c r="C979" s="2" t="s">
        <v>1589</v>
      </c>
      <c r="D979" s="1" t="s">
        <v>1671</v>
      </c>
      <c r="E979">
        <v>15940</v>
      </c>
      <c r="F979">
        <v>16000</v>
      </c>
      <c r="G979">
        <v>16500</v>
      </c>
      <c r="H979">
        <v>28260</v>
      </c>
    </row>
    <row r="980" spans="1:8" x14ac:dyDescent="0.25">
      <c r="A980" s="10">
        <v>1615</v>
      </c>
      <c r="B980" t="s">
        <v>1313</v>
      </c>
      <c r="C980" s="2" t="s">
        <v>1588</v>
      </c>
      <c r="D980" s="1" t="s">
        <v>1671</v>
      </c>
      <c r="E980">
        <v>15940</v>
      </c>
      <c r="F980">
        <v>16000</v>
      </c>
      <c r="G980">
        <v>16500</v>
      </c>
      <c r="H980">
        <v>28260</v>
      </c>
    </row>
    <row r="981" spans="1:8" x14ac:dyDescent="0.25">
      <c r="A981" s="10">
        <v>1616</v>
      </c>
      <c r="B981" t="s">
        <v>1314</v>
      </c>
      <c r="C981" s="2" t="s">
        <v>1587</v>
      </c>
      <c r="D981" s="1" t="s">
        <v>1671</v>
      </c>
      <c r="E981">
        <v>15940</v>
      </c>
      <c r="F981">
        <v>16000</v>
      </c>
      <c r="G981">
        <v>16500</v>
      </c>
      <c r="H981">
        <v>28260</v>
      </c>
    </row>
    <row r="982" spans="1:8" x14ac:dyDescent="0.25">
      <c r="A982" s="10">
        <v>1617</v>
      </c>
      <c r="B982" t="s">
        <v>1315</v>
      </c>
      <c r="C982" s="2" t="s">
        <v>1586</v>
      </c>
      <c r="D982" s="1" t="s">
        <v>1671</v>
      </c>
      <c r="E982">
        <v>15940</v>
      </c>
      <c r="F982">
        <v>16000</v>
      </c>
      <c r="G982">
        <v>16500</v>
      </c>
      <c r="H982">
        <v>28260</v>
      </c>
    </row>
    <row r="983" spans="1:8" x14ac:dyDescent="0.25">
      <c r="A983" s="10">
        <v>1618</v>
      </c>
      <c r="B983" t="s">
        <v>1316</v>
      </c>
      <c r="C983" s="2" t="s">
        <v>1585</v>
      </c>
      <c r="D983" s="1" t="s">
        <v>1671</v>
      </c>
      <c r="E983">
        <v>15940</v>
      </c>
      <c r="F983">
        <v>16000</v>
      </c>
      <c r="G983">
        <v>16500</v>
      </c>
      <c r="H983">
        <v>28260</v>
      </c>
    </row>
    <row r="984" spans="1:8" x14ac:dyDescent="0.25">
      <c r="A984" s="10">
        <v>1619</v>
      </c>
      <c r="B984" t="s">
        <v>1317</v>
      </c>
      <c r="C984" s="2" t="s">
        <v>1584</v>
      </c>
      <c r="D984" s="1" t="s">
        <v>1671</v>
      </c>
      <c r="E984">
        <v>15940</v>
      </c>
      <c r="F984">
        <v>16000</v>
      </c>
      <c r="G984">
        <v>16500</v>
      </c>
      <c r="H984">
        <v>28260</v>
      </c>
    </row>
    <row r="985" spans="1:8" x14ac:dyDescent="0.25">
      <c r="A985" s="10">
        <v>1620</v>
      </c>
      <c r="B985" t="s">
        <v>1318</v>
      </c>
      <c r="C985" s="2" t="s">
        <v>1583</v>
      </c>
      <c r="D985" s="1" t="s">
        <v>1671</v>
      </c>
      <c r="E985">
        <v>15940</v>
      </c>
      <c r="F985">
        <v>16000</v>
      </c>
      <c r="G985">
        <v>16500</v>
      </c>
      <c r="H985">
        <v>28260</v>
      </c>
    </row>
    <row r="986" spans="1:8" x14ac:dyDescent="0.25">
      <c r="A986" s="10">
        <v>1621</v>
      </c>
      <c r="B986" t="s">
        <v>1319</v>
      </c>
      <c r="C986" s="2" t="s">
        <v>1582</v>
      </c>
      <c r="D986" s="1" t="s">
        <v>1671</v>
      </c>
      <c r="E986">
        <v>15940</v>
      </c>
      <c r="F986">
        <v>16000</v>
      </c>
      <c r="G986">
        <v>16500</v>
      </c>
      <c r="H986">
        <v>28260</v>
      </c>
    </row>
    <row r="987" spans="1:8" x14ac:dyDescent="0.25">
      <c r="A987" s="10">
        <v>1622</v>
      </c>
      <c r="B987" t="s">
        <v>1320</v>
      </c>
      <c r="C987" s="2" t="s">
        <v>1581</v>
      </c>
      <c r="D987" s="1" t="s">
        <v>1671</v>
      </c>
      <c r="E987">
        <v>15940</v>
      </c>
      <c r="F987">
        <v>16000</v>
      </c>
      <c r="G987">
        <v>16500</v>
      </c>
      <c r="H987">
        <v>28260</v>
      </c>
    </row>
    <row r="988" spans="1:8" x14ac:dyDescent="0.25">
      <c r="A988" s="10">
        <v>1623</v>
      </c>
      <c r="B988" t="s">
        <v>1321</v>
      </c>
      <c r="C988" s="2" t="s">
        <v>1580</v>
      </c>
      <c r="D988" s="1" t="s">
        <v>1671</v>
      </c>
      <c r="E988">
        <v>15940</v>
      </c>
      <c r="F988">
        <v>16000</v>
      </c>
      <c r="G988">
        <v>16500</v>
      </c>
      <c r="H988">
        <v>28260</v>
      </c>
    </row>
    <row r="989" spans="1:8" x14ac:dyDescent="0.25">
      <c r="A989" s="10">
        <v>1624</v>
      </c>
      <c r="B989" t="s">
        <v>1322</v>
      </c>
      <c r="C989" s="2" t="s">
        <v>1579</v>
      </c>
      <c r="D989" s="1" t="s">
        <v>1671</v>
      </c>
      <c r="E989">
        <v>15940</v>
      </c>
      <c r="F989">
        <v>16000</v>
      </c>
      <c r="G989">
        <v>16500</v>
      </c>
      <c r="H989">
        <v>28260</v>
      </c>
    </row>
    <row r="990" spans="1:8" x14ac:dyDescent="0.25">
      <c r="A990" s="10">
        <v>1625</v>
      </c>
      <c r="B990" t="s">
        <v>1323</v>
      </c>
      <c r="C990" s="2" t="s">
        <v>1578</v>
      </c>
      <c r="D990" s="1" t="s">
        <v>1671</v>
      </c>
      <c r="E990">
        <v>15940</v>
      </c>
      <c r="F990">
        <v>16000</v>
      </c>
      <c r="G990">
        <v>16500</v>
      </c>
      <c r="H990">
        <v>28260</v>
      </c>
    </row>
    <row r="991" spans="1:8" x14ac:dyDescent="0.25">
      <c r="A991" s="10">
        <v>1626</v>
      </c>
      <c r="B991" t="s">
        <v>1324</v>
      </c>
      <c r="C991" s="2" t="s">
        <v>1577</v>
      </c>
      <c r="D991" s="1" t="s">
        <v>1671</v>
      </c>
      <c r="E991">
        <v>15940</v>
      </c>
      <c r="F991">
        <v>16000</v>
      </c>
      <c r="G991">
        <v>16500</v>
      </c>
      <c r="H991">
        <v>28260</v>
      </c>
    </row>
    <row r="992" spans="1:8" x14ac:dyDescent="0.25">
      <c r="A992" s="10">
        <v>1627</v>
      </c>
      <c r="B992" t="s">
        <v>1325</v>
      </c>
      <c r="C992" s="2" t="s">
        <v>1576</v>
      </c>
      <c r="D992" s="1" t="s">
        <v>1671</v>
      </c>
      <c r="E992">
        <v>15940</v>
      </c>
      <c r="F992">
        <v>16000</v>
      </c>
      <c r="G992">
        <v>16500</v>
      </c>
      <c r="H992">
        <v>28260</v>
      </c>
    </row>
    <row r="993" spans="1:8" x14ac:dyDescent="0.25">
      <c r="A993" s="10">
        <v>1628</v>
      </c>
      <c r="B993" t="s">
        <v>1326</v>
      </c>
      <c r="C993" s="2" t="s">
        <v>1575</v>
      </c>
      <c r="D993" s="1" t="s">
        <v>1671</v>
      </c>
      <c r="E993">
        <v>15940</v>
      </c>
      <c r="F993">
        <v>16000</v>
      </c>
      <c r="G993">
        <v>16500</v>
      </c>
      <c r="H993">
        <v>28260</v>
      </c>
    </row>
    <row r="994" spans="1:8" x14ac:dyDescent="0.25">
      <c r="A994" s="10">
        <v>1629</v>
      </c>
      <c r="B994" t="s">
        <v>1327</v>
      </c>
      <c r="C994" s="2" t="s">
        <v>1569</v>
      </c>
      <c r="D994" s="1" t="s">
        <v>1671</v>
      </c>
      <c r="E994">
        <v>15940</v>
      </c>
      <c r="F994">
        <v>16000</v>
      </c>
      <c r="G994">
        <v>16500</v>
      </c>
      <c r="H994">
        <v>28260</v>
      </c>
    </row>
    <row r="995" spans="1:8" x14ac:dyDescent="0.25">
      <c r="A995" s="10">
        <v>1630</v>
      </c>
      <c r="B995" t="s">
        <v>1328</v>
      </c>
      <c r="C995" s="2" t="s">
        <v>1570</v>
      </c>
      <c r="D995" s="1" t="s">
        <v>1671</v>
      </c>
      <c r="E995">
        <v>15940</v>
      </c>
      <c r="F995">
        <v>16000</v>
      </c>
      <c r="G995">
        <v>16500</v>
      </c>
      <c r="H995">
        <v>28260</v>
      </c>
    </row>
    <row r="996" spans="1:8" x14ac:dyDescent="0.25">
      <c r="A996" s="10">
        <v>1631</v>
      </c>
      <c r="B996" t="s">
        <v>1329</v>
      </c>
      <c r="C996" s="2" t="s">
        <v>1571</v>
      </c>
      <c r="D996" s="1" t="s">
        <v>1671</v>
      </c>
      <c r="E996">
        <v>15940</v>
      </c>
      <c r="F996">
        <v>16000</v>
      </c>
      <c r="G996">
        <v>16500</v>
      </c>
      <c r="H996">
        <v>28260</v>
      </c>
    </row>
    <row r="997" spans="1:8" x14ac:dyDescent="0.25">
      <c r="A997" s="10">
        <v>1632</v>
      </c>
      <c r="B997" t="s">
        <v>1330</v>
      </c>
      <c r="C997" s="2" t="s">
        <v>1572</v>
      </c>
      <c r="D997" s="1" t="s">
        <v>1671</v>
      </c>
      <c r="E997">
        <v>15940</v>
      </c>
      <c r="F997">
        <v>16000</v>
      </c>
      <c r="G997">
        <v>16500</v>
      </c>
      <c r="H997">
        <v>28260</v>
      </c>
    </row>
    <row r="998" spans="1:8" x14ac:dyDescent="0.25">
      <c r="A998" s="10">
        <v>1633</v>
      </c>
      <c r="B998" t="s">
        <v>1331</v>
      </c>
      <c r="C998" s="2" t="s">
        <v>1573</v>
      </c>
      <c r="D998" s="1" t="s">
        <v>1671</v>
      </c>
      <c r="E998">
        <v>15940</v>
      </c>
      <c r="F998">
        <v>16000</v>
      </c>
      <c r="G998">
        <v>16500</v>
      </c>
      <c r="H998">
        <v>28260</v>
      </c>
    </row>
    <row r="999" spans="1:8" x14ac:dyDescent="0.25">
      <c r="A999" s="10">
        <v>1634</v>
      </c>
      <c r="B999" t="s">
        <v>1332</v>
      </c>
      <c r="C999" s="2" t="s">
        <v>1574</v>
      </c>
      <c r="D999" s="1" t="s">
        <v>1671</v>
      </c>
      <c r="E999">
        <v>15940</v>
      </c>
      <c r="F999">
        <v>16000</v>
      </c>
      <c r="G999">
        <v>16500</v>
      </c>
      <c r="H999">
        <v>28260</v>
      </c>
    </row>
    <row r="1000" spans="1:8" x14ac:dyDescent="0.25">
      <c r="A1000" s="10">
        <v>1635</v>
      </c>
      <c r="B1000" t="s">
        <v>1333</v>
      </c>
      <c r="C1000" s="2" t="s">
        <v>1567</v>
      </c>
      <c r="D1000" s="1" t="s">
        <v>1671</v>
      </c>
      <c r="E1000">
        <v>15940</v>
      </c>
      <c r="F1000">
        <v>16000</v>
      </c>
      <c r="G1000">
        <v>16500</v>
      </c>
      <c r="H1000">
        <v>28260</v>
      </c>
    </row>
    <row r="1001" spans="1:8" x14ac:dyDescent="0.25">
      <c r="A1001" s="10">
        <v>1636</v>
      </c>
      <c r="B1001" t="s">
        <v>1334</v>
      </c>
      <c r="C1001" s="2" t="s">
        <v>1568</v>
      </c>
      <c r="D1001" s="1" t="s">
        <v>1671</v>
      </c>
      <c r="E1001">
        <v>15940</v>
      </c>
      <c r="F1001">
        <v>16000</v>
      </c>
      <c r="G1001">
        <v>16500</v>
      </c>
      <c r="H1001">
        <v>28260</v>
      </c>
    </row>
    <row r="1002" spans="1:8" x14ac:dyDescent="0.25">
      <c r="A1002" s="10">
        <v>1637</v>
      </c>
      <c r="B1002" t="s">
        <v>1335</v>
      </c>
      <c r="C1002" s="2" t="s">
        <v>1566</v>
      </c>
      <c r="D1002" s="1" t="s">
        <v>1671</v>
      </c>
      <c r="E1002">
        <v>15940</v>
      </c>
      <c r="F1002">
        <v>16000</v>
      </c>
      <c r="G1002">
        <v>16500</v>
      </c>
      <c r="H1002">
        <v>28260</v>
      </c>
    </row>
    <row r="1003" spans="1:8" x14ac:dyDescent="0.25">
      <c r="A1003" s="10">
        <v>1638</v>
      </c>
      <c r="B1003" t="s">
        <v>1336</v>
      </c>
      <c r="C1003" s="2" t="s">
        <v>1565</v>
      </c>
      <c r="D1003" s="1" t="s">
        <v>1671</v>
      </c>
      <c r="E1003">
        <v>15940</v>
      </c>
      <c r="F1003">
        <v>16000</v>
      </c>
      <c r="G1003">
        <v>16500</v>
      </c>
      <c r="H1003">
        <v>28260</v>
      </c>
    </row>
    <row r="1004" spans="1:8" x14ac:dyDescent="0.25">
      <c r="A1004" s="10">
        <v>1639</v>
      </c>
      <c r="B1004" t="s">
        <v>1337</v>
      </c>
      <c r="C1004" s="2" t="s">
        <v>1564</v>
      </c>
      <c r="D1004" s="1" t="s">
        <v>1671</v>
      </c>
      <c r="E1004">
        <v>15940</v>
      </c>
      <c r="F1004">
        <v>16000</v>
      </c>
      <c r="G1004">
        <v>16500</v>
      </c>
      <c r="H1004">
        <v>28260</v>
      </c>
    </row>
    <row r="1005" spans="1:8" x14ac:dyDescent="0.25">
      <c r="A1005" s="10">
        <v>1640</v>
      </c>
      <c r="B1005" t="s">
        <v>1338</v>
      </c>
      <c r="C1005" s="2" t="s">
        <v>1563</v>
      </c>
      <c r="D1005" s="1" t="s">
        <v>1671</v>
      </c>
      <c r="E1005">
        <v>15940</v>
      </c>
      <c r="F1005">
        <v>16000</v>
      </c>
      <c r="G1005">
        <v>16500</v>
      </c>
      <c r="H1005">
        <v>28260</v>
      </c>
    </row>
    <row r="1006" spans="1:8" x14ac:dyDescent="0.25">
      <c r="A1006" s="10">
        <v>1641</v>
      </c>
      <c r="B1006" t="s">
        <v>1339</v>
      </c>
      <c r="C1006" s="2" t="s">
        <v>1562</v>
      </c>
      <c r="D1006" s="1" t="s">
        <v>1671</v>
      </c>
      <c r="E1006">
        <v>15940</v>
      </c>
      <c r="F1006">
        <v>16000</v>
      </c>
      <c r="G1006">
        <v>16500</v>
      </c>
      <c r="H1006">
        <v>28260</v>
      </c>
    </row>
    <row r="1007" spans="1:8" x14ac:dyDescent="0.25">
      <c r="A1007" s="10">
        <v>1642</v>
      </c>
      <c r="B1007" t="s">
        <v>1340</v>
      </c>
      <c r="C1007" s="2" t="s">
        <v>1561</v>
      </c>
      <c r="D1007" s="1" t="s">
        <v>1671</v>
      </c>
      <c r="E1007">
        <v>15940</v>
      </c>
      <c r="F1007">
        <v>16000</v>
      </c>
      <c r="G1007">
        <v>16500</v>
      </c>
      <c r="H1007">
        <v>28260</v>
      </c>
    </row>
    <row r="1008" spans="1:8" x14ac:dyDescent="0.25">
      <c r="A1008" s="10">
        <v>1643</v>
      </c>
      <c r="B1008" t="s">
        <v>1341</v>
      </c>
      <c r="C1008" s="2" t="s">
        <v>1560</v>
      </c>
      <c r="D1008" s="1" t="s">
        <v>1671</v>
      </c>
      <c r="E1008">
        <v>15940</v>
      </c>
      <c r="F1008">
        <v>16000</v>
      </c>
      <c r="G1008">
        <v>16500</v>
      </c>
      <c r="H1008">
        <v>28260</v>
      </c>
    </row>
    <row r="1009" spans="1:8" x14ac:dyDescent="0.25">
      <c r="A1009" s="10">
        <v>1644</v>
      </c>
      <c r="B1009" t="s">
        <v>1342</v>
      </c>
      <c r="C1009" s="2" t="s">
        <v>1559</v>
      </c>
      <c r="D1009" s="1" t="s">
        <v>1671</v>
      </c>
      <c r="E1009">
        <v>15940</v>
      </c>
      <c r="F1009">
        <v>16000</v>
      </c>
      <c r="G1009">
        <v>16500</v>
      </c>
      <c r="H1009">
        <v>28260</v>
      </c>
    </row>
    <row r="1010" spans="1:8" x14ac:dyDescent="0.25">
      <c r="A1010" s="10">
        <v>1645</v>
      </c>
      <c r="B1010" t="s">
        <v>1343</v>
      </c>
      <c r="C1010" s="2" t="s">
        <v>1558</v>
      </c>
      <c r="D1010" s="1" t="s">
        <v>1671</v>
      </c>
      <c r="E1010">
        <v>15940</v>
      </c>
      <c r="F1010">
        <v>16000</v>
      </c>
      <c r="G1010">
        <v>16500</v>
      </c>
      <c r="H1010">
        <v>28260</v>
      </c>
    </row>
    <row r="1011" spans="1:8" x14ac:dyDescent="0.25">
      <c r="A1011" s="10">
        <v>1646</v>
      </c>
      <c r="B1011" t="s">
        <v>1344</v>
      </c>
      <c r="C1011" s="2" t="s">
        <v>1557</v>
      </c>
      <c r="D1011" s="1" t="s">
        <v>1671</v>
      </c>
      <c r="E1011">
        <v>15940</v>
      </c>
      <c r="F1011">
        <v>16000</v>
      </c>
      <c r="G1011">
        <v>16500</v>
      </c>
      <c r="H1011">
        <v>28260</v>
      </c>
    </row>
    <row r="1012" spans="1:8" x14ac:dyDescent="0.25">
      <c r="A1012" s="10">
        <v>1647</v>
      </c>
      <c r="B1012" t="s">
        <v>1345</v>
      </c>
      <c r="C1012" s="2" t="s">
        <v>1556</v>
      </c>
      <c r="D1012" s="1" t="s">
        <v>1671</v>
      </c>
      <c r="E1012">
        <v>15940</v>
      </c>
      <c r="F1012">
        <v>16000</v>
      </c>
      <c r="G1012">
        <v>16500</v>
      </c>
      <c r="H1012">
        <v>28260</v>
      </c>
    </row>
    <row r="1013" spans="1:8" x14ac:dyDescent="0.25">
      <c r="A1013" s="10">
        <v>1648</v>
      </c>
      <c r="B1013" t="s">
        <v>1346</v>
      </c>
      <c r="C1013" s="2" t="s">
        <v>1555</v>
      </c>
      <c r="D1013" s="1" t="s">
        <v>1671</v>
      </c>
      <c r="E1013">
        <v>15940</v>
      </c>
      <c r="F1013">
        <v>16000</v>
      </c>
      <c r="G1013">
        <v>16500</v>
      </c>
      <c r="H1013">
        <v>28260</v>
      </c>
    </row>
    <row r="1014" spans="1:8" x14ac:dyDescent="0.25">
      <c r="A1014" s="10">
        <v>1649</v>
      </c>
      <c r="B1014" t="s">
        <v>1347</v>
      </c>
      <c r="C1014" s="2" t="s">
        <v>1554</v>
      </c>
      <c r="D1014" s="1" t="s">
        <v>1671</v>
      </c>
      <c r="E1014">
        <v>15940</v>
      </c>
      <c r="F1014">
        <v>16000</v>
      </c>
      <c r="G1014">
        <v>16500</v>
      </c>
      <c r="H1014">
        <v>28260</v>
      </c>
    </row>
    <row r="1015" spans="1:8" x14ac:dyDescent="0.25">
      <c r="A1015" s="10">
        <v>1650</v>
      </c>
      <c r="B1015" t="s">
        <v>1348</v>
      </c>
      <c r="C1015" s="2" t="s">
        <v>1553</v>
      </c>
      <c r="D1015" s="1" t="s">
        <v>1671</v>
      </c>
      <c r="E1015">
        <v>15940</v>
      </c>
      <c r="F1015">
        <v>16000</v>
      </c>
      <c r="G1015">
        <v>16500</v>
      </c>
      <c r="H1015">
        <v>28260</v>
      </c>
    </row>
    <row r="1016" spans="1:8" x14ac:dyDescent="0.25">
      <c r="A1016" s="10">
        <v>1651</v>
      </c>
      <c r="B1016" t="s">
        <v>1349</v>
      </c>
      <c r="C1016" s="2" t="s">
        <v>1552</v>
      </c>
      <c r="D1016" s="1" t="s">
        <v>1671</v>
      </c>
      <c r="E1016">
        <v>15940</v>
      </c>
      <c r="F1016">
        <v>16000</v>
      </c>
      <c r="G1016">
        <v>16500</v>
      </c>
      <c r="H1016">
        <v>28260</v>
      </c>
    </row>
    <row r="1017" spans="1:8" x14ac:dyDescent="0.25">
      <c r="A1017" s="10">
        <v>1652</v>
      </c>
      <c r="B1017" t="s">
        <v>1350</v>
      </c>
      <c r="C1017" s="2" t="s">
        <v>1551</v>
      </c>
      <c r="D1017" s="1" t="s">
        <v>1671</v>
      </c>
      <c r="E1017">
        <v>15940</v>
      </c>
      <c r="F1017">
        <v>16000</v>
      </c>
      <c r="G1017">
        <v>16500</v>
      </c>
      <c r="H1017">
        <v>28260</v>
      </c>
    </row>
    <row r="1018" spans="1:8" x14ac:dyDescent="0.25">
      <c r="A1018" s="10">
        <v>1653</v>
      </c>
      <c r="B1018" t="s">
        <v>1351</v>
      </c>
      <c r="C1018" s="2" t="s">
        <v>1550</v>
      </c>
      <c r="D1018" s="1" t="s">
        <v>1671</v>
      </c>
      <c r="E1018">
        <v>15940</v>
      </c>
      <c r="F1018">
        <v>16000</v>
      </c>
      <c r="G1018">
        <v>16500</v>
      </c>
      <c r="H1018">
        <v>28260</v>
      </c>
    </row>
    <row r="1019" spans="1:8" x14ac:dyDescent="0.25">
      <c r="A1019" s="10">
        <v>1654</v>
      </c>
      <c r="B1019" t="s">
        <v>1352</v>
      </c>
      <c r="C1019" s="2" t="s">
        <v>1549</v>
      </c>
      <c r="D1019" s="1" t="s">
        <v>1671</v>
      </c>
      <c r="E1019">
        <v>15940</v>
      </c>
      <c r="F1019">
        <v>16000</v>
      </c>
      <c r="G1019">
        <v>16500</v>
      </c>
      <c r="H1019">
        <v>28260</v>
      </c>
    </row>
    <row r="1020" spans="1:8" x14ac:dyDescent="0.25">
      <c r="A1020" s="10">
        <v>1655</v>
      </c>
      <c r="B1020" t="s">
        <v>1353</v>
      </c>
      <c r="C1020" s="2" t="s">
        <v>1548</v>
      </c>
      <c r="D1020" s="1" t="s">
        <v>1671</v>
      </c>
      <c r="E1020">
        <v>15940</v>
      </c>
      <c r="F1020">
        <v>16000</v>
      </c>
      <c r="G1020">
        <v>16500</v>
      </c>
      <c r="H1020">
        <v>28260</v>
      </c>
    </row>
    <row r="1021" spans="1:8" x14ac:dyDescent="0.25">
      <c r="A1021" s="10">
        <v>1656</v>
      </c>
      <c r="B1021" t="s">
        <v>1354</v>
      </c>
      <c r="C1021" s="2" t="s">
        <v>1547</v>
      </c>
      <c r="D1021" s="1" t="s">
        <v>1671</v>
      </c>
      <c r="E1021">
        <v>15940</v>
      </c>
      <c r="F1021">
        <v>16000</v>
      </c>
      <c r="G1021">
        <v>16500</v>
      </c>
      <c r="H1021">
        <v>28260</v>
      </c>
    </row>
    <row r="1022" spans="1:8" x14ac:dyDescent="0.25">
      <c r="A1022" s="10">
        <v>1657</v>
      </c>
      <c r="B1022" t="s">
        <v>1355</v>
      </c>
      <c r="C1022" s="2" t="s">
        <v>1546</v>
      </c>
      <c r="D1022" s="1" t="s">
        <v>1671</v>
      </c>
      <c r="E1022">
        <v>15940</v>
      </c>
      <c r="F1022">
        <v>16000</v>
      </c>
      <c r="G1022">
        <v>16500</v>
      </c>
      <c r="H1022">
        <v>28260</v>
      </c>
    </row>
    <row r="1023" spans="1:8" x14ac:dyDescent="0.25">
      <c r="A1023" s="10">
        <v>1658</v>
      </c>
      <c r="B1023" t="s">
        <v>1356</v>
      </c>
      <c r="C1023" s="2" t="s">
        <v>1545</v>
      </c>
      <c r="D1023" s="1" t="s">
        <v>1671</v>
      </c>
      <c r="E1023">
        <v>15940</v>
      </c>
      <c r="F1023">
        <v>16000</v>
      </c>
      <c r="G1023">
        <v>16500</v>
      </c>
      <c r="H1023">
        <v>28260</v>
      </c>
    </row>
    <row r="1024" spans="1:8" x14ac:dyDescent="0.25">
      <c r="A1024" s="10">
        <v>1659</v>
      </c>
      <c r="B1024" t="s">
        <v>1357</v>
      </c>
      <c r="C1024" s="2" t="s">
        <v>1544</v>
      </c>
      <c r="D1024" s="1" t="s">
        <v>1671</v>
      </c>
      <c r="E1024">
        <v>15940</v>
      </c>
      <c r="F1024">
        <v>16000</v>
      </c>
      <c r="G1024">
        <v>16500</v>
      </c>
      <c r="H1024">
        <v>28260</v>
      </c>
    </row>
    <row r="1025" spans="1:8" x14ac:dyDescent="0.25">
      <c r="A1025" s="10">
        <v>1660</v>
      </c>
      <c r="B1025" t="s">
        <v>1358</v>
      </c>
      <c r="C1025" s="2" t="s">
        <v>1543</v>
      </c>
      <c r="D1025" s="1" t="s">
        <v>1671</v>
      </c>
      <c r="E1025">
        <v>15940</v>
      </c>
      <c r="F1025">
        <v>16000</v>
      </c>
      <c r="G1025">
        <v>16500</v>
      </c>
      <c r="H1025">
        <v>28260</v>
      </c>
    </row>
    <row r="1026" spans="1:8" x14ac:dyDescent="0.25">
      <c r="A1026" s="10">
        <v>1661</v>
      </c>
      <c r="B1026" t="s">
        <v>1359</v>
      </c>
      <c r="C1026" s="2" t="s">
        <v>1542</v>
      </c>
      <c r="D1026" s="1" t="s">
        <v>1671</v>
      </c>
      <c r="E1026">
        <v>15940</v>
      </c>
      <c r="F1026">
        <v>16000</v>
      </c>
      <c r="G1026">
        <v>16500</v>
      </c>
      <c r="H1026">
        <v>28260</v>
      </c>
    </row>
    <row r="1027" spans="1:8" x14ac:dyDescent="0.25">
      <c r="A1027" s="10">
        <v>1662</v>
      </c>
      <c r="B1027" t="s">
        <v>1360</v>
      </c>
      <c r="C1027" s="2" t="s">
        <v>1541</v>
      </c>
      <c r="D1027" s="1" t="s">
        <v>1671</v>
      </c>
      <c r="E1027">
        <v>15940</v>
      </c>
      <c r="F1027">
        <v>16000</v>
      </c>
      <c r="G1027">
        <v>16500</v>
      </c>
      <c r="H1027">
        <v>28260</v>
      </c>
    </row>
    <row r="1028" spans="1:8" x14ac:dyDescent="0.25">
      <c r="A1028" s="10">
        <v>1663</v>
      </c>
      <c r="B1028" t="s">
        <v>1361</v>
      </c>
      <c r="C1028" s="2" t="s">
        <v>1540</v>
      </c>
      <c r="D1028" s="1" t="s">
        <v>1671</v>
      </c>
      <c r="E1028">
        <v>15940</v>
      </c>
      <c r="F1028">
        <v>16000</v>
      </c>
      <c r="G1028">
        <v>16500</v>
      </c>
      <c r="H1028">
        <v>28260</v>
      </c>
    </row>
    <row r="1029" spans="1:8" x14ac:dyDescent="0.25">
      <c r="A1029" s="10">
        <v>1664</v>
      </c>
      <c r="B1029" t="s">
        <v>1362</v>
      </c>
      <c r="C1029" s="2" t="s">
        <v>1539</v>
      </c>
      <c r="D1029" s="1" t="s">
        <v>1671</v>
      </c>
      <c r="E1029">
        <v>15940</v>
      </c>
      <c r="F1029">
        <v>16000</v>
      </c>
      <c r="G1029">
        <v>16500</v>
      </c>
      <c r="H1029">
        <v>28260</v>
      </c>
    </row>
    <row r="1030" spans="1:8" x14ac:dyDescent="0.25">
      <c r="A1030" s="10">
        <v>1665</v>
      </c>
      <c r="B1030" t="s">
        <v>1363</v>
      </c>
      <c r="C1030" s="2" t="s">
        <v>1538</v>
      </c>
      <c r="D1030" s="1" t="s">
        <v>1671</v>
      </c>
      <c r="E1030">
        <v>15940</v>
      </c>
      <c r="F1030">
        <v>16000</v>
      </c>
      <c r="G1030">
        <v>16500</v>
      </c>
      <c r="H1030">
        <v>28260</v>
      </c>
    </row>
    <row r="1031" spans="1:8" x14ac:dyDescent="0.25">
      <c r="A1031" s="10">
        <v>1666</v>
      </c>
      <c r="B1031" t="s">
        <v>1364</v>
      </c>
      <c r="C1031" s="2" t="s">
        <v>1537</v>
      </c>
      <c r="D1031" s="1" t="s">
        <v>1671</v>
      </c>
      <c r="E1031">
        <v>15940</v>
      </c>
      <c r="F1031">
        <v>16000</v>
      </c>
      <c r="G1031">
        <v>16500</v>
      </c>
      <c r="H1031">
        <v>28260</v>
      </c>
    </row>
    <row r="1032" spans="1:8" x14ac:dyDescent="0.25">
      <c r="A1032" s="10">
        <v>1667</v>
      </c>
      <c r="B1032" t="s">
        <v>1365</v>
      </c>
      <c r="C1032" s="2" t="s">
        <v>1536</v>
      </c>
      <c r="D1032" s="1" t="s">
        <v>1671</v>
      </c>
      <c r="E1032">
        <v>15940</v>
      </c>
      <c r="F1032">
        <v>16000</v>
      </c>
      <c r="G1032">
        <v>16500</v>
      </c>
      <c r="H1032">
        <v>28260</v>
      </c>
    </row>
    <row r="1033" spans="1:8" x14ac:dyDescent="0.25">
      <c r="A1033" s="10">
        <v>1668</v>
      </c>
      <c r="B1033" t="s">
        <v>1366</v>
      </c>
      <c r="C1033" s="2" t="s">
        <v>1535</v>
      </c>
      <c r="D1033" s="1" t="s">
        <v>1671</v>
      </c>
      <c r="E1033">
        <v>15940</v>
      </c>
      <c r="F1033">
        <v>16000</v>
      </c>
      <c r="G1033">
        <v>16500</v>
      </c>
      <c r="H1033">
        <v>28260</v>
      </c>
    </row>
    <row r="1034" spans="1:8" x14ac:dyDescent="0.25">
      <c r="A1034" s="10">
        <v>1669</v>
      </c>
      <c r="B1034" t="s">
        <v>1367</v>
      </c>
      <c r="C1034" s="2" t="s">
        <v>1534</v>
      </c>
      <c r="D1034" s="1" t="s">
        <v>1671</v>
      </c>
      <c r="E1034">
        <v>15940</v>
      </c>
      <c r="F1034">
        <v>16000</v>
      </c>
      <c r="G1034">
        <v>16500</v>
      </c>
      <c r="H1034">
        <v>28260</v>
      </c>
    </row>
    <row r="1035" spans="1:8" x14ac:dyDescent="0.25">
      <c r="A1035" s="10">
        <v>1670</v>
      </c>
      <c r="B1035" t="s">
        <v>1368</v>
      </c>
      <c r="C1035" s="2" t="s">
        <v>1533</v>
      </c>
      <c r="D1035" s="1" t="s">
        <v>1671</v>
      </c>
      <c r="E1035">
        <v>15940</v>
      </c>
      <c r="F1035">
        <v>16000</v>
      </c>
      <c r="G1035">
        <v>16500</v>
      </c>
      <c r="H1035">
        <v>28260</v>
      </c>
    </row>
    <row r="1036" spans="1:8" x14ac:dyDescent="0.25">
      <c r="A1036" s="10">
        <v>1671</v>
      </c>
      <c r="B1036" t="s">
        <v>1369</v>
      </c>
      <c r="C1036" s="2" t="s">
        <v>1532</v>
      </c>
      <c r="D1036" s="1" t="s">
        <v>1671</v>
      </c>
      <c r="E1036">
        <v>15940</v>
      </c>
      <c r="F1036">
        <v>16000</v>
      </c>
      <c r="G1036">
        <v>16500</v>
      </c>
      <c r="H1036">
        <v>28260</v>
      </c>
    </row>
    <row r="1037" spans="1:8" x14ac:dyDescent="0.25">
      <c r="A1037" s="10">
        <v>1672</v>
      </c>
      <c r="B1037" t="s">
        <v>1370</v>
      </c>
      <c r="C1037" s="2" t="s">
        <v>1531</v>
      </c>
      <c r="D1037" s="1" t="s">
        <v>1671</v>
      </c>
      <c r="E1037">
        <v>15940</v>
      </c>
      <c r="F1037">
        <v>16000</v>
      </c>
      <c r="G1037">
        <v>16500</v>
      </c>
      <c r="H1037">
        <v>28260</v>
      </c>
    </row>
    <row r="1038" spans="1:8" x14ac:dyDescent="0.25">
      <c r="A1038" s="10">
        <v>1673</v>
      </c>
      <c r="B1038" t="s">
        <v>1371</v>
      </c>
      <c r="C1038" s="2" t="s">
        <v>1530</v>
      </c>
      <c r="D1038" s="1" t="s">
        <v>1671</v>
      </c>
      <c r="E1038">
        <v>15940</v>
      </c>
      <c r="F1038">
        <v>16000</v>
      </c>
      <c r="G1038">
        <v>16500</v>
      </c>
      <c r="H1038">
        <v>28260</v>
      </c>
    </row>
    <row r="1039" spans="1:8" x14ac:dyDescent="0.25">
      <c r="A1039" s="10">
        <v>1674</v>
      </c>
      <c r="B1039" t="s">
        <v>1372</v>
      </c>
      <c r="C1039" s="2" t="s">
        <v>1529</v>
      </c>
      <c r="D1039" s="1" t="s">
        <v>1671</v>
      </c>
      <c r="E1039">
        <v>15940</v>
      </c>
      <c r="F1039">
        <v>16000</v>
      </c>
      <c r="G1039">
        <v>16500</v>
      </c>
      <c r="H1039">
        <v>28260</v>
      </c>
    </row>
    <row r="1040" spans="1:8" x14ac:dyDescent="0.25">
      <c r="C1040" s="5"/>
    </row>
    <row r="1041" spans="1:8" x14ac:dyDescent="0.25">
      <c r="A1041" s="10">
        <v>1675</v>
      </c>
      <c r="B1041" t="s">
        <v>1299</v>
      </c>
      <c r="C1041" s="2" t="s">
        <v>1595</v>
      </c>
      <c r="D1041" s="1" t="s">
        <v>1672</v>
      </c>
      <c r="E1041">
        <v>31050</v>
      </c>
      <c r="F1041">
        <v>31100</v>
      </c>
      <c r="G1041">
        <v>31500</v>
      </c>
      <c r="H1041">
        <v>55060</v>
      </c>
    </row>
    <row r="1042" spans="1:8" x14ac:dyDescent="0.25">
      <c r="A1042" s="10">
        <v>1676</v>
      </c>
      <c r="B1042" t="s">
        <v>1300</v>
      </c>
      <c r="C1042" s="2" t="s">
        <v>1596</v>
      </c>
      <c r="D1042" s="1" t="s">
        <v>1672</v>
      </c>
      <c r="E1042">
        <v>31050</v>
      </c>
      <c r="F1042">
        <v>31100</v>
      </c>
      <c r="G1042">
        <v>31500</v>
      </c>
      <c r="H1042">
        <v>55060</v>
      </c>
    </row>
    <row r="1043" spans="1:8" x14ac:dyDescent="0.25">
      <c r="A1043" s="10">
        <v>1677</v>
      </c>
      <c r="B1043" t="s">
        <v>1301</v>
      </c>
      <c r="C1043" s="2" t="s">
        <v>1597</v>
      </c>
      <c r="D1043" s="1" t="s">
        <v>1672</v>
      </c>
      <c r="E1043">
        <v>31050</v>
      </c>
      <c r="F1043">
        <v>31100</v>
      </c>
      <c r="G1043">
        <v>31500</v>
      </c>
      <c r="H1043">
        <v>55060</v>
      </c>
    </row>
    <row r="1044" spans="1:8" x14ac:dyDescent="0.25">
      <c r="A1044" s="10">
        <v>1678</v>
      </c>
      <c r="B1044" t="s">
        <v>1302</v>
      </c>
      <c r="C1044" s="2" t="s">
        <v>1598</v>
      </c>
      <c r="D1044" s="1" t="s">
        <v>1672</v>
      </c>
      <c r="E1044">
        <v>31050</v>
      </c>
      <c r="F1044">
        <v>31100</v>
      </c>
      <c r="G1044">
        <v>31500</v>
      </c>
      <c r="H1044">
        <v>55060</v>
      </c>
    </row>
    <row r="1045" spans="1:8" x14ac:dyDescent="0.25">
      <c r="A1045" s="10">
        <v>1679</v>
      </c>
      <c r="B1045" t="s">
        <v>1303</v>
      </c>
      <c r="C1045" s="2" t="s">
        <v>1599</v>
      </c>
      <c r="D1045" s="1" t="s">
        <v>1672</v>
      </c>
      <c r="E1045">
        <v>31050</v>
      </c>
      <c r="F1045">
        <v>31100</v>
      </c>
      <c r="G1045">
        <v>31500</v>
      </c>
      <c r="H1045">
        <v>55060</v>
      </c>
    </row>
    <row r="1046" spans="1:8" x14ac:dyDescent="0.25">
      <c r="A1046" s="10">
        <v>1680</v>
      </c>
      <c r="B1046" t="s">
        <v>1304</v>
      </c>
      <c r="C1046" s="2" t="s">
        <v>1600</v>
      </c>
      <c r="D1046" s="1" t="s">
        <v>1672</v>
      </c>
      <c r="E1046">
        <v>31050</v>
      </c>
      <c r="F1046">
        <v>31100</v>
      </c>
      <c r="G1046">
        <v>31500</v>
      </c>
      <c r="H1046">
        <v>55060</v>
      </c>
    </row>
    <row r="1047" spans="1:8" x14ac:dyDescent="0.25">
      <c r="A1047" s="10">
        <v>1681</v>
      </c>
      <c r="B1047" t="s">
        <v>1305</v>
      </c>
      <c r="C1047" s="2" t="s">
        <v>1601</v>
      </c>
      <c r="D1047" s="1" t="s">
        <v>1672</v>
      </c>
      <c r="E1047">
        <v>31050</v>
      </c>
      <c r="F1047">
        <v>31100</v>
      </c>
      <c r="G1047">
        <v>31500</v>
      </c>
      <c r="H1047">
        <v>55060</v>
      </c>
    </row>
    <row r="1048" spans="1:8" x14ac:dyDescent="0.25">
      <c r="A1048" s="10">
        <v>1682</v>
      </c>
      <c r="B1048" t="s">
        <v>1306</v>
      </c>
      <c r="C1048" s="2" t="s">
        <v>1624</v>
      </c>
      <c r="D1048" s="1" t="s">
        <v>1672</v>
      </c>
      <c r="E1048">
        <v>31050</v>
      </c>
      <c r="F1048">
        <v>31100</v>
      </c>
      <c r="G1048">
        <v>31500</v>
      </c>
      <c r="H1048">
        <v>55060</v>
      </c>
    </row>
    <row r="1049" spans="1:8" x14ac:dyDescent="0.25">
      <c r="A1049" s="10">
        <v>1683</v>
      </c>
      <c r="B1049" t="s">
        <v>1307</v>
      </c>
      <c r="C1049" s="2" t="s">
        <v>1625</v>
      </c>
      <c r="D1049" s="1" t="s">
        <v>1672</v>
      </c>
      <c r="E1049">
        <v>31050</v>
      </c>
      <c r="F1049">
        <v>31100</v>
      </c>
      <c r="G1049">
        <v>31500</v>
      </c>
      <c r="H1049">
        <v>55060</v>
      </c>
    </row>
    <row r="1050" spans="1:8" x14ac:dyDescent="0.25">
      <c r="A1050" s="10">
        <v>1684</v>
      </c>
      <c r="B1050" t="s">
        <v>1308</v>
      </c>
      <c r="C1050" s="2" t="s">
        <v>1626</v>
      </c>
      <c r="D1050" s="1" t="s">
        <v>1672</v>
      </c>
      <c r="E1050">
        <v>31050</v>
      </c>
      <c r="F1050">
        <v>31100</v>
      </c>
      <c r="G1050">
        <v>31500</v>
      </c>
      <c r="H1050">
        <v>55060</v>
      </c>
    </row>
    <row r="1051" spans="1:8" x14ac:dyDescent="0.25">
      <c r="A1051" s="10">
        <v>1685</v>
      </c>
      <c r="B1051" t="s">
        <v>1309</v>
      </c>
      <c r="C1051" s="2" t="s">
        <v>1627</v>
      </c>
      <c r="D1051" s="1" t="s">
        <v>1672</v>
      </c>
      <c r="E1051">
        <v>31050</v>
      </c>
      <c r="F1051">
        <v>31100</v>
      </c>
      <c r="G1051">
        <v>31500</v>
      </c>
      <c r="H1051">
        <v>55060</v>
      </c>
    </row>
    <row r="1052" spans="1:8" x14ac:dyDescent="0.25">
      <c r="A1052" s="10">
        <v>1686</v>
      </c>
      <c r="B1052" t="s">
        <v>1310</v>
      </c>
      <c r="C1052" s="2" t="s">
        <v>1628</v>
      </c>
      <c r="D1052" s="1" t="s">
        <v>1672</v>
      </c>
      <c r="E1052">
        <v>31050</v>
      </c>
      <c r="F1052">
        <v>31100</v>
      </c>
      <c r="G1052">
        <v>31500</v>
      </c>
      <c r="H1052">
        <v>55060</v>
      </c>
    </row>
    <row r="1053" spans="1:8" x14ac:dyDescent="0.25">
      <c r="A1053" s="10">
        <v>1687</v>
      </c>
      <c r="B1053" t="s">
        <v>1311</v>
      </c>
      <c r="C1053" s="2" t="s">
        <v>1629</v>
      </c>
      <c r="D1053" s="1" t="s">
        <v>1672</v>
      </c>
      <c r="E1053">
        <v>31050</v>
      </c>
      <c r="F1053">
        <v>31100</v>
      </c>
      <c r="G1053">
        <v>31500</v>
      </c>
      <c r="H1053">
        <v>55060</v>
      </c>
    </row>
    <row r="1054" spans="1:8" x14ac:dyDescent="0.25">
      <c r="A1054" s="10">
        <v>1688</v>
      </c>
      <c r="B1054" t="s">
        <v>1312</v>
      </c>
      <c r="C1054" s="2" t="s">
        <v>1663</v>
      </c>
      <c r="D1054" s="1" t="s">
        <v>1672</v>
      </c>
      <c r="E1054">
        <v>31050</v>
      </c>
      <c r="F1054">
        <v>31100</v>
      </c>
      <c r="G1054">
        <v>31500</v>
      </c>
      <c r="H1054">
        <v>55060</v>
      </c>
    </row>
    <row r="1055" spans="1:8" x14ac:dyDescent="0.25">
      <c r="A1055" s="10">
        <v>1689</v>
      </c>
      <c r="B1055" t="s">
        <v>1313</v>
      </c>
      <c r="C1055" s="2" t="s">
        <v>1664</v>
      </c>
      <c r="D1055" s="1" t="s">
        <v>1672</v>
      </c>
      <c r="E1055">
        <v>31050</v>
      </c>
      <c r="F1055">
        <v>31100</v>
      </c>
      <c r="G1055">
        <v>31500</v>
      </c>
      <c r="H1055">
        <v>55060</v>
      </c>
    </row>
    <row r="1056" spans="1:8" x14ac:dyDescent="0.25">
      <c r="A1056" s="10">
        <v>1690</v>
      </c>
      <c r="B1056" t="s">
        <v>1314</v>
      </c>
      <c r="C1056" s="2" t="s">
        <v>1665</v>
      </c>
      <c r="D1056" s="1" t="s">
        <v>1672</v>
      </c>
      <c r="E1056">
        <v>31050</v>
      </c>
      <c r="F1056">
        <v>31100</v>
      </c>
      <c r="G1056">
        <v>31500</v>
      </c>
      <c r="H1056">
        <v>55060</v>
      </c>
    </row>
    <row r="1057" spans="1:8" x14ac:dyDescent="0.25">
      <c r="A1057" s="10">
        <v>1691</v>
      </c>
      <c r="B1057" t="s">
        <v>1315</v>
      </c>
      <c r="C1057" s="2" t="s">
        <v>1666</v>
      </c>
      <c r="D1057" s="1" t="s">
        <v>1672</v>
      </c>
      <c r="E1057">
        <v>31050</v>
      </c>
      <c r="F1057">
        <v>31100</v>
      </c>
      <c r="G1057">
        <v>31500</v>
      </c>
      <c r="H1057">
        <v>55060</v>
      </c>
    </row>
    <row r="1058" spans="1:8" x14ac:dyDescent="0.25">
      <c r="A1058" s="10">
        <v>1692</v>
      </c>
      <c r="B1058" t="s">
        <v>1316</v>
      </c>
      <c r="C1058" s="2" t="s">
        <v>1667</v>
      </c>
      <c r="D1058" s="1" t="s">
        <v>1672</v>
      </c>
      <c r="E1058">
        <v>31050</v>
      </c>
      <c r="F1058">
        <v>31100</v>
      </c>
      <c r="G1058">
        <v>31500</v>
      </c>
      <c r="H1058">
        <v>55060</v>
      </c>
    </row>
    <row r="1059" spans="1:8" x14ac:dyDescent="0.25">
      <c r="A1059" s="10">
        <v>1693</v>
      </c>
      <c r="B1059" t="s">
        <v>1317</v>
      </c>
      <c r="C1059" s="2" t="s">
        <v>1668</v>
      </c>
      <c r="D1059" s="1" t="s">
        <v>1672</v>
      </c>
      <c r="E1059">
        <v>31050</v>
      </c>
      <c r="F1059">
        <v>31100</v>
      </c>
      <c r="G1059">
        <v>31500</v>
      </c>
      <c r="H1059">
        <v>55060</v>
      </c>
    </row>
    <row r="1060" spans="1:8" x14ac:dyDescent="0.25">
      <c r="A1060" s="10">
        <v>1694</v>
      </c>
      <c r="B1060" t="s">
        <v>1318</v>
      </c>
      <c r="C1060" s="2" t="s">
        <v>1652</v>
      </c>
      <c r="D1060" s="1" t="s">
        <v>1672</v>
      </c>
      <c r="E1060">
        <v>31050</v>
      </c>
      <c r="F1060">
        <v>31100</v>
      </c>
      <c r="G1060">
        <v>31500</v>
      </c>
      <c r="H1060">
        <v>55060</v>
      </c>
    </row>
    <row r="1061" spans="1:8" x14ac:dyDescent="0.25">
      <c r="A1061" s="10">
        <v>1695</v>
      </c>
      <c r="B1061" t="s">
        <v>1319</v>
      </c>
      <c r="C1061" s="2" t="s">
        <v>1653</v>
      </c>
      <c r="D1061" s="1" t="s">
        <v>1672</v>
      </c>
      <c r="E1061">
        <v>31050</v>
      </c>
      <c r="F1061">
        <v>31100</v>
      </c>
      <c r="G1061">
        <v>31500</v>
      </c>
      <c r="H1061">
        <v>55060</v>
      </c>
    </row>
    <row r="1062" spans="1:8" x14ac:dyDescent="0.25">
      <c r="A1062" s="10">
        <v>1696</v>
      </c>
      <c r="B1062" t="s">
        <v>1320</v>
      </c>
      <c r="C1062" s="2" t="s">
        <v>1654</v>
      </c>
      <c r="D1062" s="1" t="s">
        <v>1672</v>
      </c>
      <c r="E1062">
        <v>31050</v>
      </c>
      <c r="F1062">
        <v>31100</v>
      </c>
      <c r="G1062">
        <v>31500</v>
      </c>
      <c r="H1062">
        <v>55060</v>
      </c>
    </row>
    <row r="1063" spans="1:8" x14ac:dyDescent="0.25">
      <c r="A1063" s="10">
        <v>1697</v>
      </c>
      <c r="B1063" t="s">
        <v>1321</v>
      </c>
      <c r="C1063" s="2" t="s">
        <v>1655</v>
      </c>
      <c r="D1063" s="1" t="s">
        <v>1672</v>
      </c>
      <c r="E1063">
        <v>31050</v>
      </c>
      <c r="F1063">
        <v>31100</v>
      </c>
      <c r="G1063">
        <v>31500</v>
      </c>
      <c r="H1063">
        <v>55060</v>
      </c>
    </row>
    <row r="1064" spans="1:8" x14ac:dyDescent="0.25">
      <c r="A1064" s="10">
        <v>1698</v>
      </c>
      <c r="B1064" t="s">
        <v>1322</v>
      </c>
      <c r="C1064" s="2" t="s">
        <v>1656</v>
      </c>
      <c r="D1064" s="1" t="s">
        <v>1672</v>
      </c>
      <c r="E1064">
        <v>31050</v>
      </c>
      <c r="F1064">
        <v>31100</v>
      </c>
      <c r="G1064">
        <v>31500</v>
      </c>
      <c r="H1064">
        <v>55060</v>
      </c>
    </row>
    <row r="1065" spans="1:8" x14ac:dyDescent="0.25">
      <c r="A1065" s="10">
        <v>1699</v>
      </c>
      <c r="B1065" t="s">
        <v>1323</v>
      </c>
      <c r="C1065" s="2" t="s">
        <v>1657</v>
      </c>
      <c r="D1065" s="1" t="s">
        <v>1672</v>
      </c>
      <c r="E1065">
        <v>31050</v>
      </c>
      <c r="F1065">
        <v>31100</v>
      </c>
      <c r="G1065">
        <v>31500</v>
      </c>
      <c r="H1065">
        <v>55060</v>
      </c>
    </row>
    <row r="1066" spans="1:8" x14ac:dyDescent="0.25">
      <c r="A1066" s="10">
        <v>1700</v>
      </c>
      <c r="B1066" t="s">
        <v>1324</v>
      </c>
      <c r="C1066" s="2" t="s">
        <v>1658</v>
      </c>
      <c r="D1066" s="1" t="s">
        <v>1672</v>
      </c>
      <c r="E1066">
        <v>31050</v>
      </c>
      <c r="F1066">
        <v>31100</v>
      </c>
      <c r="G1066">
        <v>31500</v>
      </c>
      <c r="H1066">
        <v>55060</v>
      </c>
    </row>
    <row r="1067" spans="1:8" x14ac:dyDescent="0.25">
      <c r="A1067" s="10">
        <v>1701</v>
      </c>
      <c r="B1067" t="s">
        <v>1325</v>
      </c>
      <c r="C1067" s="2" t="s">
        <v>1659</v>
      </c>
      <c r="D1067" s="1" t="s">
        <v>1672</v>
      </c>
      <c r="E1067">
        <v>31050</v>
      </c>
      <c r="F1067">
        <v>31100</v>
      </c>
      <c r="G1067">
        <v>31500</v>
      </c>
      <c r="H1067">
        <v>55060</v>
      </c>
    </row>
    <row r="1068" spans="1:8" x14ac:dyDescent="0.25">
      <c r="A1068" s="10">
        <v>1702</v>
      </c>
      <c r="B1068" t="s">
        <v>1326</v>
      </c>
      <c r="C1068" s="2" t="s">
        <v>1660</v>
      </c>
      <c r="D1068" s="1" t="s">
        <v>1672</v>
      </c>
      <c r="E1068">
        <v>31050</v>
      </c>
      <c r="F1068">
        <v>31100</v>
      </c>
      <c r="G1068">
        <v>31500</v>
      </c>
      <c r="H1068">
        <v>55060</v>
      </c>
    </row>
    <row r="1069" spans="1:8" x14ac:dyDescent="0.25">
      <c r="A1069" s="10">
        <v>1703</v>
      </c>
      <c r="B1069" t="s">
        <v>1327</v>
      </c>
      <c r="C1069" s="2" t="s">
        <v>1661</v>
      </c>
      <c r="D1069" s="1" t="s">
        <v>1672</v>
      </c>
      <c r="E1069">
        <v>31050</v>
      </c>
      <c r="F1069">
        <v>31100</v>
      </c>
      <c r="G1069">
        <v>31500</v>
      </c>
      <c r="H1069">
        <v>55060</v>
      </c>
    </row>
    <row r="1070" spans="1:8" x14ac:dyDescent="0.25">
      <c r="A1070" s="10">
        <v>1704</v>
      </c>
      <c r="B1070" t="s">
        <v>1328</v>
      </c>
      <c r="C1070" s="2" t="s">
        <v>1662</v>
      </c>
      <c r="D1070" s="1" t="s">
        <v>1672</v>
      </c>
      <c r="E1070">
        <v>31050</v>
      </c>
      <c r="F1070">
        <v>31100</v>
      </c>
      <c r="G1070">
        <v>31500</v>
      </c>
      <c r="H1070">
        <v>55060</v>
      </c>
    </row>
    <row r="1071" spans="1:8" x14ac:dyDescent="0.25">
      <c r="A1071" s="10">
        <v>1705</v>
      </c>
      <c r="B1071" t="s">
        <v>1329</v>
      </c>
      <c r="C1071" s="2" t="s">
        <v>1651</v>
      </c>
      <c r="D1071" s="1" t="s">
        <v>1672</v>
      </c>
      <c r="E1071">
        <v>31050</v>
      </c>
      <c r="F1071">
        <v>31100</v>
      </c>
      <c r="G1071">
        <v>31500</v>
      </c>
      <c r="H1071">
        <v>55060</v>
      </c>
    </row>
    <row r="1072" spans="1:8" x14ac:dyDescent="0.25">
      <c r="A1072" s="10">
        <v>1706</v>
      </c>
      <c r="B1072" t="s">
        <v>1330</v>
      </c>
      <c r="C1072" s="2" t="s">
        <v>1650</v>
      </c>
      <c r="D1072" s="1" t="s">
        <v>1672</v>
      </c>
      <c r="E1072">
        <v>31050</v>
      </c>
      <c r="F1072">
        <v>31100</v>
      </c>
      <c r="G1072">
        <v>31500</v>
      </c>
      <c r="H1072">
        <v>55060</v>
      </c>
    </row>
    <row r="1073" spans="1:8" x14ac:dyDescent="0.25">
      <c r="A1073" s="10">
        <v>1707</v>
      </c>
      <c r="B1073" t="s">
        <v>1331</v>
      </c>
      <c r="C1073" s="2" t="s">
        <v>1649</v>
      </c>
      <c r="D1073" s="1" t="s">
        <v>1672</v>
      </c>
      <c r="E1073">
        <v>31050</v>
      </c>
      <c r="F1073">
        <v>31100</v>
      </c>
      <c r="G1073">
        <v>31500</v>
      </c>
      <c r="H1073">
        <v>55060</v>
      </c>
    </row>
    <row r="1074" spans="1:8" x14ac:dyDescent="0.25">
      <c r="A1074" s="10">
        <v>1708</v>
      </c>
      <c r="B1074" t="s">
        <v>1332</v>
      </c>
      <c r="C1074" s="2" t="s">
        <v>1648</v>
      </c>
      <c r="D1074" s="1" t="s">
        <v>1672</v>
      </c>
      <c r="E1074">
        <v>31050</v>
      </c>
      <c r="F1074">
        <v>31100</v>
      </c>
      <c r="G1074">
        <v>31500</v>
      </c>
      <c r="H1074">
        <v>55060</v>
      </c>
    </row>
    <row r="1075" spans="1:8" x14ac:dyDescent="0.25">
      <c r="A1075" s="10">
        <v>1709</v>
      </c>
      <c r="B1075" t="s">
        <v>1333</v>
      </c>
      <c r="C1075" s="2" t="s">
        <v>1647</v>
      </c>
      <c r="D1075" s="1" t="s">
        <v>1672</v>
      </c>
      <c r="E1075">
        <v>31050</v>
      </c>
      <c r="F1075">
        <v>31100</v>
      </c>
      <c r="G1075">
        <v>31500</v>
      </c>
      <c r="H1075">
        <v>55060</v>
      </c>
    </row>
    <row r="1076" spans="1:8" x14ac:dyDescent="0.25">
      <c r="A1076" s="10">
        <v>1710</v>
      </c>
      <c r="B1076" t="s">
        <v>1334</v>
      </c>
      <c r="C1076" s="2" t="s">
        <v>1646</v>
      </c>
      <c r="D1076" s="1" t="s">
        <v>1672</v>
      </c>
      <c r="E1076">
        <v>31050</v>
      </c>
      <c r="F1076">
        <v>31100</v>
      </c>
      <c r="G1076">
        <v>31500</v>
      </c>
      <c r="H1076">
        <v>55060</v>
      </c>
    </row>
    <row r="1077" spans="1:8" x14ac:dyDescent="0.25">
      <c r="A1077" s="10">
        <v>1711</v>
      </c>
      <c r="B1077" t="s">
        <v>1335</v>
      </c>
      <c r="C1077" s="2" t="s">
        <v>1645</v>
      </c>
      <c r="D1077" s="1" t="s">
        <v>1672</v>
      </c>
      <c r="E1077">
        <v>31050</v>
      </c>
      <c r="F1077">
        <v>31100</v>
      </c>
      <c r="G1077">
        <v>31500</v>
      </c>
      <c r="H1077">
        <v>55060</v>
      </c>
    </row>
    <row r="1078" spans="1:8" x14ac:dyDescent="0.25">
      <c r="A1078" s="10">
        <v>1712</v>
      </c>
      <c r="B1078" t="s">
        <v>1336</v>
      </c>
      <c r="C1078" s="2" t="s">
        <v>1644</v>
      </c>
      <c r="D1078" s="1" t="s">
        <v>1672</v>
      </c>
      <c r="E1078">
        <v>31050</v>
      </c>
      <c r="F1078">
        <v>31100</v>
      </c>
      <c r="G1078">
        <v>31500</v>
      </c>
      <c r="H1078">
        <v>55060</v>
      </c>
    </row>
    <row r="1079" spans="1:8" x14ac:dyDescent="0.25">
      <c r="A1079" s="10">
        <v>1713</v>
      </c>
      <c r="B1079" t="s">
        <v>1337</v>
      </c>
      <c r="C1079" s="2" t="s">
        <v>1641</v>
      </c>
      <c r="D1079" s="1" t="s">
        <v>1672</v>
      </c>
      <c r="E1079">
        <v>31050</v>
      </c>
      <c r="F1079">
        <v>31100</v>
      </c>
      <c r="G1079">
        <v>31500</v>
      </c>
      <c r="H1079">
        <v>55060</v>
      </c>
    </row>
    <row r="1080" spans="1:8" x14ac:dyDescent="0.25">
      <c r="A1080" s="10">
        <v>1714</v>
      </c>
      <c r="B1080" t="s">
        <v>1338</v>
      </c>
      <c r="C1080" s="2" t="s">
        <v>1642</v>
      </c>
      <c r="D1080" s="1" t="s">
        <v>1672</v>
      </c>
      <c r="E1080">
        <v>31050</v>
      </c>
      <c r="F1080">
        <v>31100</v>
      </c>
      <c r="G1080">
        <v>31500</v>
      </c>
      <c r="H1080">
        <v>55060</v>
      </c>
    </row>
    <row r="1081" spans="1:8" x14ac:dyDescent="0.25">
      <c r="A1081" s="10">
        <v>1715</v>
      </c>
      <c r="B1081" t="s">
        <v>1339</v>
      </c>
      <c r="C1081" s="2" t="s">
        <v>1643</v>
      </c>
      <c r="D1081" s="1" t="s">
        <v>1672</v>
      </c>
      <c r="E1081">
        <v>31050</v>
      </c>
      <c r="F1081">
        <v>31100</v>
      </c>
      <c r="G1081">
        <v>31500</v>
      </c>
      <c r="H1081">
        <v>55060</v>
      </c>
    </row>
    <row r="1082" spans="1:8" x14ac:dyDescent="0.25">
      <c r="A1082" s="10">
        <v>1716</v>
      </c>
      <c r="B1082" t="s">
        <v>1340</v>
      </c>
      <c r="C1082" s="2" t="s">
        <v>1640</v>
      </c>
      <c r="D1082" s="1" t="s">
        <v>1672</v>
      </c>
      <c r="E1082">
        <v>31050</v>
      </c>
      <c r="F1082">
        <v>31100</v>
      </c>
      <c r="G1082">
        <v>31500</v>
      </c>
      <c r="H1082">
        <v>55060</v>
      </c>
    </row>
    <row r="1083" spans="1:8" x14ac:dyDescent="0.25">
      <c r="A1083" s="10">
        <v>1717</v>
      </c>
      <c r="B1083" t="s">
        <v>1341</v>
      </c>
      <c r="C1083" s="2" t="s">
        <v>1639</v>
      </c>
      <c r="D1083" s="1" t="s">
        <v>1672</v>
      </c>
      <c r="E1083">
        <v>31050</v>
      </c>
      <c r="F1083">
        <v>31100</v>
      </c>
      <c r="G1083">
        <v>31500</v>
      </c>
      <c r="H1083">
        <v>55060</v>
      </c>
    </row>
    <row r="1084" spans="1:8" x14ac:dyDescent="0.25">
      <c r="A1084" s="10">
        <v>1718</v>
      </c>
      <c r="B1084" t="s">
        <v>1342</v>
      </c>
      <c r="C1084" s="2" t="s">
        <v>1638</v>
      </c>
      <c r="D1084" s="1" t="s">
        <v>1672</v>
      </c>
      <c r="E1084">
        <v>31050</v>
      </c>
      <c r="F1084">
        <v>31100</v>
      </c>
      <c r="G1084">
        <v>31500</v>
      </c>
      <c r="H1084">
        <v>55060</v>
      </c>
    </row>
    <row r="1085" spans="1:8" x14ac:dyDescent="0.25">
      <c r="A1085" s="10">
        <v>1719</v>
      </c>
      <c r="B1085" t="s">
        <v>1343</v>
      </c>
      <c r="C1085" s="2" t="s">
        <v>1637</v>
      </c>
      <c r="D1085" s="1" t="s">
        <v>1672</v>
      </c>
      <c r="E1085">
        <v>31050</v>
      </c>
      <c r="F1085">
        <v>31100</v>
      </c>
      <c r="G1085">
        <v>31500</v>
      </c>
      <c r="H1085">
        <v>55060</v>
      </c>
    </row>
    <row r="1086" spans="1:8" x14ac:dyDescent="0.25">
      <c r="A1086" s="10">
        <v>1720</v>
      </c>
      <c r="B1086" t="s">
        <v>1344</v>
      </c>
      <c r="C1086" s="2" t="s">
        <v>1636</v>
      </c>
      <c r="D1086" s="1" t="s">
        <v>1672</v>
      </c>
      <c r="E1086">
        <v>31050</v>
      </c>
      <c r="F1086">
        <v>31100</v>
      </c>
      <c r="G1086">
        <v>31500</v>
      </c>
      <c r="H1086">
        <v>55060</v>
      </c>
    </row>
    <row r="1087" spans="1:8" x14ac:dyDescent="0.25">
      <c r="A1087" s="10">
        <v>1721</v>
      </c>
      <c r="B1087" t="s">
        <v>1345</v>
      </c>
      <c r="C1087" s="2" t="s">
        <v>1635</v>
      </c>
      <c r="D1087" s="1" t="s">
        <v>1672</v>
      </c>
      <c r="E1087">
        <v>31050</v>
      </c>
      <c r="F1087">
        <v>31100</v>
      </c>
      <c r="G1087">
        <v>31500</v>
      </c>
      <c r="H1087">
        <v>55060</v>
      </c>
    </row>
    <row r="1088" spans="1:8" x14ac:dyDescent="0.25">
      <c r="A1088" s="10">
        <v>1722</v>
      </c>
      <c r="B1088" t="s">
        <v>1346</v>
      </c>
      <c r="C1088" s="2" t="s">
        <v>1634</v>
      </c>
      <c r="D1088" s="1" t="s">
        <v>1672</v>
      </c>
      <c r="E1088">
        <v>31050</v>
      </c>
      <c r="F1088">
        <v>31100</v>
      </c>
      <c r="G1088">
        <v>31500</v>
      </c>
      <c r="H1088">
        <v>55060</v>
      </c>
    </row>
    <row r="1089" spans="1:8" x14ac:dyDescent="0.25">
      <c r="A1089" s="10">
        <v>1723</v>
      </c>
      <c r="B1089" t="s">
        <v>1347</v>
      </c>
      <c r="C1089" s="2" t="s">
        <v>1633</v>
      </c>
      <c r="D1089" s="1" t="s">
        <v>1672</v>
      </c>
      <c r="E1089">
        <v>31050</v>
      </c>
      <c r="F1089">
        <v>31100</v>
      </c>
      <c r="G1089">
        <v>31500</v>
      </c>
      <c r="H1089">
        <v>55060</v>
      </c>
    </row>
    <row r="1090" spans="1:8" x14ac:dyDescent="0.25">
      <c r="A1090" s="10">
        <v>1724</v>
      </c>
      <c r="B1090" t="s">
        <v>1348</v>
      </c>
      <c r="C1090" s="2" t="s">
        <v>1632</v>
      </c>
      <c r="D1090" s="1" t="s">
        <v>1672</v>
      </c>
      <c r="E1090">
        <v>31050</v>
      </c>
      <c r="F1090">
        <v>31100</v>
      </c>
      <c r="G1090">
        <v>31500</v>
      </c>
      <c r="H1090">
        <v>55060</v>
      </c>
    </row>
    <row r="1091" spans="1:8" x14ac:dyDescent="0.25">
      <c r="A1091" s="10">
        <v>1725</v>
      </c>
      <c r="B1091" t="s">
        <v>1349</v>
      </c>
      <c r="C1091" s="2" t="s">
        <v>1631</v>
      </c>
      <c r="D1091" s="1" t="s">
        <v>1672</v>
      </c>
      <c r="E1091">
        <v>31050</v>
      </c>
      <c r="F1091">
        <v>31100</v>
      </c>
      <c r="G1091">
        <v>31500</v>
      </c>
      <c r="H1091">
        <v>55060</v>
      </c>
    </row>
    <row r="1092" spans="1:8" x14ac:dyDescent="0.25">
      <c r="A1092" s="10">
        <v>1726</v>
      </c>
      <c r="B1092" t="s">
        <v>1350</v>
      </c>
      <c r="C1092" s="2" t="s">
        <v>1630</v>
      </c>
      <c r="D1092" s="1" t="s">
        <v>1672</v>
      </c>
      <c r="E1092">
        <v>31050</v>
      </c>
      <c r="F1092">
        <v>31100</v>
      </c>
      <c r="G1092">
        <v>31500</v>
      </c>
      <c r="H1092">
        <v>55060</v>
      </c>
    </row>
    <row r="1093" spans="1:8" x14ac:dyDescent="0.25">
      <c r="A1093" s="10">
        <v>1727</v>
      </c>
      <c r="B1093" t="s">
        <v>1351</v>
      </c>
      <c r="C1093" s="2" t="s">
        <v>1623</v>
      </c>
      <c r="D1093" s="1" t="s">
        <v>1672</v>
      </c>
      <c r="E1093">
        <v>31050</v>
      </c>
      <c r="F1093">
        <v>31100</v>
      </c>
      <c r="G1093">
        <v>31500</v>
      </c>
      <c r="H1093">
        <v>55060</v>
      </c>
    </row>
    <row r="1094" spans="1:8" x14ac:dyDescent="0.25">
      <c r="A1094" s="10">
        <v>1728</v>
      </c>
      <c r="B1094" t="s">
        <v>1352</v>
      </c>
      <c r="C1094" s="2" t="s">
        <v>1622</v>
      </c>
      <c r="D1094" s="1" t="s">
        <v>1672</v>
      </c>
      <c r="E1094">
        <v>31050</v>
      </c>
      <c r="F1094">
        <v>31100</v>
      </c>
      <c r="G1094">
        <v>31500</v>
      </c>
      <c r="H1094">
        <v>55060</v>
      </c>
    </row>
    <row r="1095" spans="1:8" x14ac:dyDescent="0.25">
      <c r="A1095" s="10">
        <v>1729</v>
      </c>
      <c r="B1095" t="s">
        <v>1353</v>
      </c>
      <c r="C1095" s="2" t="s">
        <v>1621</v>
      </c>
      <c r="D1095" s="1" t="s">
        <v>1672</v>
      </c>
      <c r="E1095">
        <v>31050</v>
      </c>
      <c r="F1095">
        <v>31100</v>
      </c>
      <c r="G1095">
        <v>31500</v>
      </c>
      <c r="H1095">
        <v>55060</v>
      </c>
    </row>
    <row r="1096" spans="1:8" x14ac:dyDescent="0.25">
      <c r="A1096" s="10">
        <v>1730</v>
      </c>
      <c r="B1096" t="s">
        <v>1354</v>
      </c>
      <c r="C1096" s="2" t="s">
        <v>1620</v>
      </c>
      <c r="D1096" s="1" t="s">
        <v>1672</v>
      </c>
      <c r="E1096">
        <v>31050</v>
      </c>
      <c r="F1096">
        <v>31100</v>
      </c>
      <c r="G1096">
        <v>31500</v>
      </c>
      <c r="H1096">
        <v>55060</v>
      </c>
    </row>
    <row r="1097" spans="1:8" x14ac:dyDescent="0.25">
      <c r="A1097" s="10">
        <v>1731</v>
      </c>
      <c r="B1097" t="s">
        <v>1355</v>
      </c>
      <c r="C1097" s="2" t="s">
        <v>1619</v>
      </c>
      <c r="D1097" s="1" t="s">
        <v>1672</v>
      </c>
      <c r="E1097">
        <v>31050</v>
      </c>
      <c r="F1097">
        <v>31100</v>
      </c>
      <c r="G1097">
        <v>31500</v>
      </c>
      <c r="H1097">
        <v>55060</v>
      </c>
    </row>
    <row r="1098" spans="1:8" x14ac:dyDescent="0.25">
      <c r="A1098" s="10">
        <v>1732</v>
      </c>
      <c r="B1098" t="s">
        <v>1356</v>
      </c>
      <c r="C1098" s="2" t="s">
        <v>1618</v>
      </c>
      <c r="D1098" s="1" t="s">
        <v>1672</v>
      </c>
      <c r="E1098">
        <v>31050</v>
      </c>
      <c r="F1098">
        <v>31100</v>
      </c>
      <c r="G1098">
        <v>31500</v>
      </c>
      <c r="H1098">
        <v>55060</v>
      </c>
    </row>
    <row r="1099" spans="1:8" x14ac:dyDescent="0.25">
      <c r="A1099" s="10">
        <v>1733</v>
      </c>
      <c r="B1099" t="s">
        <v>1357</v>
      </c>
      <c r="C1099" s="2" t="s">
        <v>1617</v>
      </c>
      <c r="D1099" s="1" t="s">
        <v>1672</v>
      </c>
      <c r="E1099">
        <v>31050</v>
      </c>
      <c r="F1099">
        <v>31100</v>
      </c>
      <c r="G1099">
        <v>31500</v>
      </c>
      <c r="H1099">
        <v>55060</v>
      </c>
    </row>
    <row r="1100" spans="1:8" x14ac:dyDescent="0.25">
      <c r="A1100" s="10">
        <v>1734</v>
      </c>
      <c r="B1100" t="s">
        <v>1358</v>
      </c>
      <c r="C1100" s="2" t="s">
        <v>1616</v>
      </c>
      <c r="D1100" s="1" t="s">
        <v>1672</v>
      </c>
      <c r="E1100">
        <v>31050</v>
      </c>
      <c r="F1100">
        <v>31100</v>
      </c>
      <c r="G1100">
        <v>31500</v>
      </c>
      <c r="H1100">
        <v>55060</v>
      </c>
    </row>
    <row r="1101" spans="1:8" x14ac:dyDescent="0.25">
      <c r="A1101" s="10">
        <v>1735</v>
      </c>
      <c r="B1101" t="s">
        <v>1359</v>
      </c>
      <c r="C1101" s="2" t="s">
        <v>1615</v>
      </c>
      <c r="D1101" s="1" t="s">
        <v>1672</v>
      </c>
      <c r="E1101">
        <v>31050</v>
      </c>
      <c r="F1101">
        <v>31100</v>
      </c>
      <c r="G1101">
        <v>31500</v>
      </c>
      <c r="H1101">
        <v>55060</v>
      </c>
    </row>
    <row r="1102" spans="1:8" x14ac:dyDescent="0.25">
      <c r="A1102" s="10">
        <v>1736</v>
      </c>
      <c r="B1102" t="s">
        <v>1360</v>
      </c>
      <c r="C1102" s="2" t="s">
        <v>1614</v>
      </c>
      <c r="D1102" s="1" t="s">
        <v>1672</v>
      </c>
      <c r="E1102">
        <v>31050</v>
      </c>
      <c r="F1102">
        <v>31100</v>
      </c>
      <c r="G1102">
        <v>31500</v>
      </c>
      <c r="H1102">
        <v>55060</v>
      </c>
    </row>
    <row r="1103" spans="1:8" x14ac:dyDescent="0.25">
      <c r="A1103" s="10">
        <v>1737</v>
      </c>
      <c r="B1103" t="s">
        <v>1361</v>
      </c>
      <c r="C1103" s="2" t="s">
        <v>1613</v>
      </c>
      <c r="D1103" s="1" t="s">
        <v>1672</v>
      </c>
      <c r="E1103">
        <v>31050</v>
      </c>
      <c r="F1103">
        <v>31100</v>
      </c>
      <c r="G1103">
        <v>31500</v>
      </c>
      <c r="H1103">
        <v>55060</v>
      </c>
    </row>
    <row r="1104" spans="1:8" x14ac:dyDescent="0.25">
      <c r="A1104" s="10">
        <v>1738</v>
      </c>
      <c r="B1104" t="s">
        <v>1362</v>
      </c>
      <c r="C1104" s="2" t="s">
        <v>1612</v>
      </c>
      <c r="D1104" s="1" t="s">
        <v>1672</v>
      </c>
      <c r="E1104">
        <v>31050</v>
      </c>
      <c r="F1104">
        <v>31100</v>
      </c>
      <c r="G1104">
        <v>31500</v>
      </c>
      <c r="H1104">
        <v>55060</v>
      </c>
    </row>
    <row r="1105" spans="1:8" x14ac:dyDescent="0.25">
      <c r="A1105" s="10">
        <v>1739</v>
      </c>
      <c r="B1105" t="s">
        <v>1363</v>
      </c>
      <c r="C1105" s="2" t="s">
        <v>1611</v>
      </c>
      <c r="D1105" s="1" t="s">
        <v>1672</v>
      </c>
      <c r="E1105">
        <v>31050</v>
      </c>
      <c r="F1105">
        <v>31100</v>
      </c>
      <c r="G1105">
        <v>31500</v>
      </c>
      <c r="H1105">
        <v>55060</v>
      </c>
    </row>
    <row r="1106" spans="1:8" x14ac:dyDescent="0.25">
      <c r="A1106" s="10">
        <v>1740</v>
      </c>
      <c r="B1106" t="s">
        <v>1364</v>
      </c>
      <c r="C1106" s="2" t="s">
        <v>1610</v>
      </c>
      <c r="D1106" s="1" t="s">
        <v>1672</v>
      </c>
      <c r="E1106">
        <v>31050</v>
      </c>
      <c r="F1106">
        <v>31100</v>
      </c>
      <c r="G1106">
        <v>31500</v>
      </c>
      <c r="H1106">
        <v>55060</v>
      </c>
    </row>
    <row r="1107" spans="1:8" x14ac:dyDescent="0.25">
      <c r="A1107" s="10">
        <v>1741</v>
      </c>
      <c r="B1107" t="s">
        <v>1365</v>
      </c>
      <c r="C1107" s="2" t="s">
        <v>1609</v>
      </c>
      <c r="D1107" s="1" t="s">
        <v>1672</v>
      </c>
      <c r="E1107">
        <v>31050</v>
      </c>
      <c r="F1107">
        <v>31100</v>
      </c>
      <c r="G1107">
        <v>31500</v>
      </c>
      <c r="H1107">
        <v>55060</v>
      </c>
    </row>
    <row r="1108" spans="1:8" x14ac:dyDescent="0.25">
      <c r="A1108" s="10">
        <v>1742</v>
      </c>
      <c r="B1108" t="s">
        <v>1366</v>
      </c>
      <c r="C1108" s="2" t="s">
        <v>1608</v>
      </c>
      <c r="D1108" s="1" t="s">
        <v>1672</v>
      </c>
      <c r="E1108">
        <v>31050</v>
      </c>
      <c r="F1108">
        <v>31100</v>
      </c>
      <c r="G1108">
        <v>31500</v>
      </c>
      <c r="H1108">
        <v>55060</v>
      </c>
    </row>
    <row r="1109" spans="1:8" x14ac:dyDescent="0.25">
      <c r="A1109" s="10">
        <v>1743</v>
      </c>
      <c r="B1109" t="s">
        <v>1367</v>
      </c>
      <c r="C1109" s="2" t="s">
        <v>1607</v>
      </c>
      <c r="D1109" s="1" t="s">
        <v>1672</v>
      </c>
      <c r="E1109">
        <v>31050</v>
      </c>
      <c r="F1109">
        <v>31100</v>
      </c>
      <c r="G1109">
        <v>31500</v>
      </c>
      <c r="H1109">
        <v>55060</v>
      </c>
    </row>
    <row r="1110" spans="1:8" x14ac:dyDescent="0.25">
      <c r="A1110" s="10">
        <v>1744</v>
      </c>
      <c r="B1110" t="s">
        <v>1368</v>
      </c>
      <c r="C1110" s="2" t="s">
        <v>1606</v>
      </c>
      <c r="D1110" s="1" t="s">
        <v>1672</v>
      </c>
      <c r="E1110">
        <v>31050</v>
      </c>
      <c r="F1110">
        <v>31100</v>
      </c>
      <c r="G1110">
        <v>31500</v>
      </c>
      <c r="H1110">
        <v>55060</v>
      </c>
    </row>
    <row r="1111" spans="1:8" x14ac:dyDescent="0.25">
      <c r="A1111" s="10">
        <v>1745</v>
      </c>
      <c r="B1111" t="s">
        <v>1369</v>
      </c>
      <c r="C1111" s="2" t="s">
        <v>1605</v>
      </c>
      <c r="D1111" s="1" t="s">
        <v>1672</v>
      </c>
      <c r="E1111">
        <v>31050</v>
      </c>
      <c r="F1111">
        <v>31100</v>
      </c>
      <c r="G1111">
        <v>31500</v>
      </c>
      <c r="H1111">
        <v>55060</v>
      </c>
    </row>
    <row r="1112" spans="1:8" x14ac:dyDescent="0.25">
      <c r="A1112" s="10">
        <v>1746</v>
      </c>
      <c r="B1112" t="s">
        <v>1370</v>
      </c>
      <c r="C1112" s="2" t="s">
        <v>1604</v>
      </c>
      <c r="D1112" s="1" t="s">
        <v>1672</v>
      </c>
      <c r="E1112">
        <v>31050</v>
      </c>
      <c r="F1112">
        <v>31100</v>
      </c>
      <c r="G1112">
        <v>31500</v>
      </c>
      <c r="H1112">
        <v>55060</v>
      </c>
    </row>
    <row r="1113" spans="1:8" x14ac:dyDescent="0.25">
      <c r="A1113" s="10">
        <v>1747</v>
      </c>
      <c r="B1113" t="s">
        <v>1371</v>
      </c>
      <c r="C1113" s="2" t="s">
        <v>1603</v>
      </c>
      <c r="D1113" s="1" t="s">
        <v>1672</v>
      </c>
      <c r="E1113">
        <v>31050</v>
      </c>
      <c r="F1113">
        <v>31100</v>
      </c>
      <c r="G1113">
        <v>31500</v>
      </c>
      <c r="H1113">
        <v>55060</v>
      </c>
    </row>
    <row r="1114" spans="1:8" x14ac:dyDescent="0.25">
      <c r="A1114" s="10">
        <v>1748</v>
      </c>
      <c r="B1114" t="s">
        <v>1372</v>
      </c>
      <c r="C1114" s="2" t="s">
        <v>1602</v>
      </c>
      <c r="D1114" s="1" t="s">
        <v>1672</v>
      </c>
      <c r="E1114">
        <v>31050</v>
      </c>
      <c r="F1114">
        <v>31100</v>
      </c>
      <c r="G1114">
        <v>31500</v>
      </c>
      <c r="H1114">
        <v>55060</v>
      </c>
    </row>
    <row r="1115" spans="1:8" x14ac:dyDescent="0.25">
      <c r="C1115" s="5"/>
    </row>
    <row r="1116" spans="1:8" x14ac:dyDescent="0.25">
      <c r="A1116" s="10">
        <v>1749</v>
      </c>
      <c r="B1116" t="s">
        <v>1673</v>
      </c>
      <c r="C1116" s="2" t="s">
        <v>1722</v>
      </c>
      <c r="D1116" s="1" t="s">
        <v>1918</v>
      </c>
      <c r="E1116">
        <v>955</v>
      </c>
      <c r="F1116">
        <v>960</v>
      </c>
      <c r="G1116">
        <v>1000</v>
      </c>
      <c r="H1116">
        <v>1540</v>
      </c>
    </row>
    <row r="1117" spans="1:8" x14ac:dyDescent="0.25">
      <c r="A1117" s="10">
        <v>1750</v>
      </c>
      <c r="B1117" t="s">
        <v>1674</v>
      </c>
      <c r="C1117" s="2" t="s">
        <v>1723</v>
      </c>
      <c r="D1117" s="1" t="s">
        <v>1918</v>
      </c>
      <c r="E1117">
        <v>955</v>
      </c>
      <c r="F1117">
        <v>960</v>
      </c>
      <c r="G1117">
        <v>1000</v>
      </c>
      <c r="H1117">
        <v>1540</v>
      </c>
    </row>
    <row r="1118" spans="1:8" x14ac:dyDescent="0.25">
      <c r="A1118" s="10">
        <v>1751</v>
      </c>
      <c r="B1118" t="s">
        <v>1675</v>
      </c>
      <c r="C1118" s="2" t="s">
        <v>1724</v>
      </c>
      <c r="D1118" s="1" t="s">
        <v>1918</v>
      </c>
      <c r="E1118">
        <v>955</v>
      </c>
      <c r="F1118">
        <v>960</v>
      </c>
      <c r="G1118">
        <v>1000</v>
      </c>
      <c r="H1118">
        <v>1540</v>
      </c>
    </row>
    <row r="1119" spans="1:8" x14ac:dyDescent="0.25">
      <c r="A1119" s="10">
        <v>1752</v>
      </c>
      <c r="B1119" t="s">
        <v>1676</v>
      </c>
      <c r="C1119" s="2" t="s">
        <v>1725</v>
      </c>
      <c r="D1119" s="1" t="s">
        <v>1918</v>
      </c>
      <c r="E1119">
        <v>955</v>
      </c>
      <c r="F1119">
        <v>960</v>
      </c>
      <c r="G1119">
        <v>1000</v>
      </c>
      <c r="H1119">
        <v>1540</v>
      </c>
    </row>
    <row r="1120" spans="1:8" x14ac:dyDescent="0.25">
      <c r="A1120" s="10">
        <v>1753</v>
      </c>
      <c r="B1120" t="s">
        <v>1677</v>
      </c>
      <c r="C1120" s="2" t="s">
        <v>1726</v>
      </c>
      <c r="D1120" s="1" t="s">
        <v>1918</v>
      </c>
      <c r="E1120">
        <v>955</v>
      </c>
      <c r="F1120">
        <v>960</v>
      </c>
      <c r="G1120">
        <v>1000</v>
      </c>
      <c r="H1120">
        <v>1540</v>
      </c>
    </row>
    <row r="1121" spans="1:8" x14ac:dyDescent="0.25">
      <c r="A1121" s="10">
        <v>1754</v>
      </c>
      <c r="B1121" t="s">
        <v>1678</v>
      </c>
      <c r="C1121" s="2" t="s">
        <v>1727</v>
      </c>
      <c r="D1121" s="1" t="s">
        <v>1918</v>
      </c>
      <c r="E1121">
        <v>955</v>
      </c>
      <c r="F1121">
        <v>960</v>
      </c>
      <c r="G1121">
        <v>1000</v>
      </c>
      <c r="H1121">
        <v>1540</v>
      </c>
    </row>
    <row r="1122" spans="1:8" x14ac:dyDescent="0.25">
      <c r="A1122" s="10">
        <v>1755</v>
      </c>
      <c r="B1122" t="s">
        <v>1679</v>
      </c>
      <c r="C1122" s="2" t="s">
        <v>1728</v>
      </c>
      <c r="D1122" s="1" t="s">
        <v>1918</v>
      </c>
      <c r="E1122">
        <v>955</v>
      </c>
      <c r="F1122">
        <v>960</v>
      </c>
      <c r="G1122">
        <v>1000</v>
      </c>
      <c r="H1122">
        <v>1540</v>
      </c>
    </row>
    <row r="1123" spans="1:8" x14ac:dyDescent="0.25">
      <c r="A1123" s="10">
        <v>1756</v>
      </c>
      <c r="B1123" t="s">
        <v>1680</v>
      </c>
      <c r="C1123" s="2" t="s">
        <v>1729</v>
      </c>
      <c r="D1123" s="1" t="s">
        <v>1918</v>
      </c>
      <c r="E1123">
        <v>955</v>
      </c>
      <c r="F1123">
        <v>960</v>
      </c>
      <c r="G1123">
        <v>1000</v>
      </c>
      <c r="H1123">
        <v>1540</v>
      </c>
    </row>
    <row r="1124" spans="1:8" x14ac:dyDescent="0.25">
      <c r="A1124" s="10">
        <v>1757</v>
      </c>
      <c r="B1124" t="s">
        <v>1681</v>
      </c>
      <c r="C1124" s="2" t="s">
        <v>1730</v>
      </c>
      <c r="D1124" s="1" t="s">
        <v>1918</v>
      </c>
      <c r="E1124">
        <v>955</v>
      </c>
      <c r="F1124">
        <v>960</v>
      </c>
      <c r="G1124">
        <v>1000</v>
      </c>
      <c r="H1124">
        <v>1540</v>
      </c>
    </row>
    <row r="1125" spans="1:8" x14ac:dyDescent="0.25">
      <c r="A1125" s="10">
        <v>1758</v>
      </c>
      <c r="B1125" t="s">
        <v>1682</v>
      </c>
      <c r="C1125" s="2" t="s">
        <v>1731</v>
      </c>
      <c r="D1125" s="1" t="s">
        <v>1918</v>
      </c>
      <c r="E1125">
        <v>955</v>
      </c>
      <c r="F1125">
        <v>960</v>
      </c>
      <c r="G1125">
        <v>1000</v>
      </c>
      <c r="H1125">
        <v>1540</v>
      </c>
    </row>
    <row r="1126" spans="1:8" x14ac:dyDescent="0.25">
      <c r="A1126" s="10">
        <v>1759</v>
      </c>
      <c r="B1126" t="s">
        <v>1683</v>
      </c>
      <c r="C1126" s="2" t="s">
        <v>1732</v>
      </c>
      <c r="D1126" s="1" t="s">
        <v>1918</v>
      </c>
      <c r="E1126">
        <v>955</v>
      </c>
      <c r="F1126">
        <v>960</v>
      </c>
      <c r="G1126">
        <v>1000</v>
      </c>
      <c r="H1126">
        <v>1540</v>
      </c>
    </row>
    <row r="1127" spans="1:8" x14ac:dyDescent="0.25">
      <c r="A1127" s="10">
        <v>1760</v>
      </c>
      <c r="B1127" t="s">
        <v>1684</v>
      </c>
      <c r="C1127" s="2" t="s">
        <v>1733</v>
      </c>
      <c r="D1127" s="1" t="s">
        <v>1918</v>
      </c>
      <c r="E1127">
        <v>955</v>
      </c>
      <c r="F1127">
        <v>960</v>
      </c>
      <c r="G1127">
        <v>1000</v>
      </c>
      <c r="H1127">
        <v>1540</v>
      </c>
    </row>
    <row r="1128" spans="1:8" x14ac:dyDescent="0.25">
      <c r="A1128" s="10">
        <v>1761</v>
      </c>
      <c r="B1128" t="s">
        <v>1685</v>
      </c>
      <c r="C1128" s="2" t="s">
        <v>1734</v>
      </c>
      <c r="D1128" s="1" t="s">
        <v>1918</v>
      </c>
      <c r="E1128">
        <v>955</v>
      </c>
      <c r="F1128">
        <v>960</v>
      </c>
      <c r="G1128">
        <v>1000</v>
      </c>
      <c r="H1128">
        <v>1540</v>
      </c>
    </row>
    <row r="1129" spans="1:8" x14ac:dyDescent="0.25">
      <c r="A1129" s="10">
        <v>1762</v>
      </c>
      <c r="B1129" t="s">
        <v>1686</v>
      </c>
      <c r="C1129" s="2" t="s">
        <v>1735</v>
      </c>
      <c r="D1129" s="1" t="s">
        <v>1918</v>
      </c>
      <c r="E1129">
        <v>955</v>
      </c>
      <c r="F1129">
        <v>960</v>
      </c>
      <c r="G1129">
        <v>1000</v>
      </c>
      <c r="H1129">
        <v>1540</v>
      </c>
    </row>
    <row r="1130" spans="1:8" x14ac:dyDescent="0.25">
      <c r="A1130" s="10">
        <v>1763</v>
      </c>
      <c r="B1130" t="s">
        <v>1687</v>
      </c>
      <c r="C1130" s="2" t="s">
        <v>1736</v>
      </c>
      <c r="D1130" s="1" t="s">
        <v>1918</v>
      </c>
      <c r="E1130">
        <v>955</v>
      </c>
      <c r="F1130">
        <v>960</v>
      </c>
      <c r="G1130">
        <v>1000</v>
      </c>
      <c r="H1130">
        <v>1540</v>
      </c>
    </row>
    <row r="1131" spans="1:8" x14ac:dyDescent="0.25">
      <c r="A1131" s="10">
        <v>1764</v>
      </c>
      <c r="B1131" t="s">
        <v>1688</v>
      </c>
      <c r="C1131" s="2" t="s">
        <v>1737</v>
      </c>
      <c r="D1131" s="1" t="s">
        <v>1918</v>
      </c>
      <c r="E1131">
        <v>955</v>
      </c>
      <c r="F1131">
        <v>960</v>
      </c>
      <c r="G1131">
        <v>1000</v>
      </c>
      <c r="H1131">
        <v>1540</v>
      </c>
    </row>
    <row r="1132" spans="1:8" x14ac:dyDescent="0.25">
      <c r="A1132" s="10">
        <v>1765</v>
      </c>
      <c r="B1132" t="s">
        <v>1689</v>
      </c>
      <c r="C1132" s="2" t="s">
        <v>1738</v>
      </c>
      <c r="D1132" s="1" t="s">
        <v>1918</v>
      </c>
      <c r="E1132">
        <v>955</v>
      </c>
      <c r="F1132">
        <v>960</v>
      </c>
      <c r="G1132">
        <v>1000</v>
      </c>
      <c r="H1132">
        <v>1540</v>
      </c>
    </row>
    <row r="1133" spans="1:8" x14ac:dyDescent="0.25">
      <c r="A1133" s="10">
        <v>1766</v>
      </c>
      <c r="B1133" t="s">
        <v>1690</v>
      </c>
      <c r="C1133" s="2" t="s">
        <v>1739</v>
      </c>
      <c r="D1133" s="1" t="s">
        <v>1918</v>
      </c>
      <c r="E1133">
        <v>955</v>
      </c>
      <c r="F1133">
        <v>960</v>
      </c>
      <c r="G1133">
        <v>1000</v>
      </c>
      <c r="H1133">
        <v>1540</v>
      </c>
    </row>
    <row r="1134" spans="1:8" x14ac:dyDescent="0.25">
      <c r="A1134" s="10">
        <v>1767</v>
      </c>
      <c r="B1134" t="s">
        <v>1691</v>
      </c>
      <c r="C1134" s="2" t="s">
        <v>1740</v>
      </c>
      <c r="D1134" s="1" t="s">
        <v>1918</v>
      </c>
      <c r="E1134">
        <v>955</v>
      </c>
      <c r="F1134">
        <v>960</v>
      </c>
      <c r="G1134">
        <v>1000</v>
      </c>
      <c r="H1134">
        <v>1540</v>
      </c>
    </row>
    <row r="1135" spans="1:8" x14ac:dyDescent="0.25">
      <c r="A1135" s="10">
        <v>1768</v>
      </c>
      <c r="B1135" t="s">
        <v>1692</v>
      </c>
      <c r="C1135" s="2" t="s">
        <v>1741</v>
      </c>
      <c r="D1135" s="1" t="s">
        <v>1918</v>
      </c>
      <c r="E1135">
        <v>955</v>
      </c>
      <c r="F1135">
        <v>960</v>
      </c>
      <c r="G1135">
        <v>1000</v>
      </c>
      <c r="H1135">
        <v>1540</v>
      </c>
    </row>
    <row r="1136" spans="1:8" x14ac:dyDescent="0.25">
      <c r="A1136" s="10">
        <v>1769</v>
      </c>
      <c r="B1136" t="s">
        <v>1693</v>
      </c>
      <c r="C1136" s="2" t="s">
        <v>1742</v>
      </c>
      <c r="D1136" s="1" t="s">
        <v>1918</v>
      </c>
      <c r="E1136">
        <v>955</v>
      </c>
      <c r="F1136">
        <v>960</v>
      </c>
      <c r="G1136">
        <v>1000</v>
      </c>
      <c r="H1136">
        <v>1540</v>
      </c>
    </row>
    <row r="1137" spans="1:8" x14ac:dyDescent="0.25">
      <c r="A1137" s="10">
        <v>1770</v>
      </c>
      <c r="B1137" t="s">
        <v>1694</v>
      </c>
      <c r="C1137" s="2" t="s">
        <v>1743</v>
      </c>
      <c r="D1137" s="1" t="s">
        <v>1918</v>
      </c>
      <c r="E1137">
        <v>955</v>
      </c>
      <c r="F1137">
        <v>960</v>
      </c>
      <c r="G1137">
        <v>1000</v>
      </c>
      <c r="H1137">
        <v>1540</v>
      </c>
    </row>
    <row r="1138" spans="1:8" x14ac:dyDescent="0.25">
      <c r="A1138" s="10">
        <v>1771</v>
      </c>
      <c r="B1138" t="s">
        <v>1695</v>
      </c>
      <c r="C1138" s="2" t="s">
        <v>1744</v>
      </c>
      <c r="D1138" s="1" t="s">
        <v>1918</v>
      </c>
      <c r="E1138">
        <v>955</v>
      </c>
      <c r="F1138">
        <v>960</v>
      </c>
      <c r="G1138">
        <v>1000</v>
      </c>
      <c r="H1138">
        <v>1540</v>
      </c>
    </row>
    <row r="1139" spans="1:8" x14ac:dyDescent="0.25">
      <c r="A1139" s="10">
        <v>1772</v>
      </c>
      <c r="B1139" t="s">
        <v>1696</v>
      </c>
      <c r="C1139" s="2" t="s">
        <v>1745</v>
      </c>
      <c r="D1139" s="1" t="s">
        <v>1918</v>
      </c>
      <c r="E1139">
        <v>955</v>
      </c>
      <c r="F1139">
        <v>960</v>
      </c>
      <c r="G1139">
        <v>1000</v>
      </c>
      <c r="H1139">
        <v>1540</v>
      </c>
    </row>
    <row r="1140" spans="1:8" x14ac:dyDescent="0.25">
      <c r="A1140" s="10">
        <v>1773</v>
      </c>
      <c r="B1140" t="s">
        <v>1697</v>
      </c>
      <c r="C1140" s="2" t="s">
        <v>1746</v>
      </c>
      <c r="D1140" s="1" t="s">
        <v>1918</v>
      </c>
      <c r="E1140">
        <v>955</v>
      </c>
      <c r="F1140">
        <v>960</v>
      </c>
      <c r="G1140">
        <v>1000</v>
      </c>
      <c r="H1140">
        <v>1540</v>
      </c>
    </row>
    <row r="1141" spans="1:8" x14ac:dyDescent="0.25">
      <c r="A1141" s="10">
        <v>1774</v>
      </c>
      <c r="B1141" t="s">
        <v>1698</v>
      </c>
      <c r="C1141" s="2" t="s">
        <v>1747</v>
      </c>
      <c r="D1141" s="1" t="s">
        <v>1918</v>
      </c>
      <c r="E1141">
        <v>955</v>
      </c>
      <c r="F1141">
        <v>960</v>
      </c>
      <c r="G1141">
        <v>1000</v>
      </c>
      <c r="H1141">
        <v>1540</v>
      </c>
    </row>
    <row r="1142" spans="1:8" x14ac:dyDescent="0.25">
      <c r="A1142" s="10">
        <v>1775</v>
      </c>
      <c r="B1142" t="s">
        <v>1699</v>
      </c>
      <c r="C1142" s="2" t="s">
        <v>1748</v>
      </c>
      <c r="D1142" s="1" t="s">
        <v>1918</v>
      </c>
      <c r="E1142">
        <v>955</v>
      </c>
      <c r="F1142">
        <v>960</v>
      </c>
      <c r="G1142">
        <v>1000</v>
      </c>
      <c r="H1142">
        <v>1540</v>
      </c>
    </row>
    <row r="1143" spans="1:8" x14ac:dyDescent="0.25">
      <c r="A1143" s="10">
        <v>1776</v>
      </c>
      <c r="B1143" t="s">
        <v>1700</v>
      </c>
      <c r="C1143" s="2" t="s">
        <v>1749</v>
      </c>
      <c r="D1143" s="1" t="s">
        <v>1918</v>
      </c>
      <c r="E1143">
        <v>955</v>
      </c>
      <c r="F1143">
        <v>960</v>
      </c>
      <c r="G1143">
        <v>1000</v>
      </c>
      <c r="H1143">
        <v>1540</v>
      </c>
    </row>
    <row r="1144" spans="1:8" x14ac:dyDescent="0.25">
      <c r="A1144" s="10">
        <v>1777</v>
      </c>
      <c r="B1144" t="s">
        <v>1701</v>
      </c>
      <c r="C1144" s="2" t="s">
        <v>1750</v>
      </c>
      <c r="D1144" s="1" t="s">
        <v>1918</v>
      </c>
      <c r="E1144">
        <v>955</v>
      </c>
      <c r="F1144">
        <v>960</v>
      </c>
      <c r="G1144">
        <v>1000</v>
      </c>
      <c r="H1144">
        <v>1540</v>
      </c>
    </row>
    <row r="1145" spans="1:8" x14ac:dyDescent="0.25">
      <c r="A1145" s="10">
        <v>1778</v>
      </c>
      <c r="B1145" t="s">
        <v>1702</v>
      </c>
      <c r="C1145" s="2" t="s">
        <v>1751</v>
      </c>
      <c r="D1145" s="1" t="s">
        <v>1918</v>
      </c>
      <c r="E1145">
        <v>955</v>
      </c>
      <c r="F1145">
        <v>960</v>
      </c>
      <c r="G1145">
        <v>1000</v>
      </c>
      <c r="H1145">
        <v>1540</v>
      </c>
    </row>
    <row r="1146" spans="1:8" x14ac:dyDescent="0.25">
      <c r="A1146" s="10">
        <v>1779</v>
      </c>
      <c r="B1146" t="s">
        <v>1703</v>
      </c>
      <c r="C1146" s="2" t="s">
        <v>1752</v>
      </c>
      <c r="D1146" s="1" t="s">
        <v>1918</v>
      </c>
      <c r="E1146">
        <v>955</v>
      </c>
      <c r="F1146">
        <v>960</v>
      </c>
      <c r="G1146">
        <v>1000</v>
      </c>
      <c r="H1146">
        <v>1540</v>
      </c>
    </row>
    <row r="1147" spans="1:8" x14ac:dyDescent="0.25">
      <c r="A1147" s="10">
        <v>1780</v>
      </c>
      <c r="B1147" t="s">
        <v>1704</v>
      </c>
      <c r="C1147" s="2" t="s">
        <v>1753</v>
      </c>
      <c r="D1147" s="1" t="s">
        <v>1918</v>
      </c>
      <c r="E1147">
        <v>955</v>
      </c>
      <c r="F1147">
        <v>960</v>
      </c>
      <c r="G1147">
        <v>1000</v>
      </c>
      <c r="H1147">
        <v>1540</v>
      </c>
    </row>
    <row r="1148" spans="1:8" x14ac:dyDescent="0.25">
      <c r="A1148" s="10">
        <v>1781</v>
      </c>
      <c r="B1148" t="s">
        <v>1705</v>
      </c>
      <c r="C1148" s="2" t="s">
        <v>1754</v>
      </c>
      <c r="D1148" s="1" t="s">
        <v>1918</v>
      </c>
      <c r="E1148">
        <v>955</v>
      </c>
      <c r="F1148">
        <v>960</v>
      </c>
      <c r="G1148">
        <v>1000</v>
      </c>
      <c r="H1148">
        <v>1540</v>
      </c>
    </row>
    <row r="1149" spans="1:8" x14ac:dyDescent="0.25">
      <c r="A1149" s="10">
        <v>1782</v>
      </c>
      <c r="B1149" t="s">
        <v>1706</v>
      </c>
      <c r="C1149" s="2" t="s">
        <v>1755</v>
      </c>
      <c r="D1149" s="1" t="s">
        <v>1918</v>
      </c>
      <c r="E1149">
        <v>955</v>
      </c>
      <c r="F1149">
        <v>960</v>
      </c>
      <c r="G1149">
        <v>1000</v>
      </c>
      <c r="H1149">
        <v>1540</v>
      </c>
    </row>
    <row r="1150" spans="1:8" x14ac:dyDescent="0.25">
      <c r="A1150" s="10">
        <v>1783</v>
      </c>
      <c r="B1150" t="s">
        <v>1707</v>
      </c>
      <c r="C1150" s="2" t="s">
        <v>1756</v>
      </c>
      <c r="D1150" s="1" t="s">
        <v>1918</v>
      </c>
      <c r="E1150">
        <v>955</v>
      </c>
      <c r="F1150">
        <v>960</v>
      </c>
      <c r="G1150">
        <v>1000</v>
      </c>
      <c r="H1150">
        <v>1540</v>
      </c>
    </row>
    <row r="1151" spans="1:8" x14ac:dyDescent="0.25">
      <c r="A1151" s="10">
        <v>1784</v>
      </c>
      <c r="B1151" t="s">
        <v>1708</v>
      </c>
      <c r="C1151" s="2" t="s">
        <v>1757</v>
      </c>
      <c r="D1151" s="1" t="s">
        <v>1918</v>
      </c>
      <c r="E1151">
        <v>955</v>
      </c>
      <c r="F1151">
        <v>960</v>
      </c>
      <c r="G1151">
        <v>1000</v>
      </c>
      <c r="H1151">
        <v>1540</v>
      </c>
    </row>
    <row r="1152" spans="1:8" x14ac:dyDescent="0.25">
      <c r="A1152" s="10">
        <v>1785</v>
      </c>
      <c r="B1152" t="s">
        <v>1709</v>
      </c>
      <c r="C1152" s="2" t="s">
        <v>1758</v>
      </c>
      <c r="D1152" s="1" t="s">
        <v>1918</v>
      </c>
      <c r="E1152">
        <v>955</v>
      </c>
      <c r="F1152">
        <v>960</v>
      </c>
      <c r="G1152">
        <v>1000</v>
      </c>
      <c r="H1152">
        <v>1540</v>
      </c>
    </row>
    <row r="1153" spans="1:8" x14ac:dyDescent="0.25">
      <c r="A1153" s="10">
        <v>1786</v>
      </c>
      <c r="B1153" t="s">
        <v>1710</v>
      </c>
      <c r="C1153" s="2" t="s">
        <v>1759</v>
      </c>
      <c r="D1153" s="1" t="s">
        <v>1918</v>
      </c>
      <c r="E1153">
        <v>955</v>
      </c>
      <c r="F1153">
        <v>960</v>
      </c>
      <c r="G1153">
        <v>1000</v>
      </c>
      <c r="H1153">
        <v>1540</v>
      </c>
    </row>
    <row r="1154" spans="1:8" x14ac:dyDescent="0.25">
      <c r="A1154" s="10">
        <v>1787</v>
      </c>
      <c r="B1154" t="s">
        <v>1711</v>
      </c>
      <c r="C1154" s="2" t="s">
        <v>1760</v>
      </c>
      <c r="D1154" s="1" t="s">
        <v>1918</v>
      </c>
      <c r="E1154">
        <v>955</v>
      </c>
      <c r="F1154">
        <v>960</v>
      </c>
      <c r="G1154">
        <v>1000</v>
      </c>
      <c r="H1154">
        <v>1540</v>
      </c>
    </row>
    <row r="1155" spans="1:8" x14ac:dyDescent="0.25">
      <c r="A1155" s="10">
        <v>1788</v>
      </c>
      <c r="B1155" t="s">
        <v>1712</v>
      </c>
      <c r="C1155" s="2" t="s">
        <v>1761</v>
      </c>
      <c r="D1155" s="1" t="s">
        <v>1918</v>
      </c>
      <c r="E1155">
        <v>955</v>
      </c>
      <c r="F1155">
        <v>960</v>
      </c>
      <c r="G1155">
        <v>1000</v>
      </c>
      <c r="H1155">
        <v>1540</v>
      </c>
    </row>
    <row r="1156" spans="1:8" x14ac:dyDescent="0.25">
      <c r="A1156" s="10">
        <v>1789</v>
      </c>
      <c r="B1156" t="s">
        <v>1713</v>
      </c>
      <c r="C1156" s="2" t="s">
        <v>1762</v>
      </c>
      <c r="D1156" s="1" t="s">
        <v>1918</v>
      </c>
      <c r="E1156">
        <v>955</v>
      </c>
      <c r="F1156">
        <v>960</v>
      </c>
      <c r="G1156">
        <v>1000</v>
      </c>
      <c r="H1156">
        <v>1540</v>
      </c>
    </row>
    <row r="1157" spans="1:8" x14ac:dyDescent="0.25">
      <c r="A1157" s="10">
        <v>1790</v>
      </c>
      <c r="B1157" t="s">
        <v>1714</v>
      </c>
      <c r="C1157" s="2" t="s">
        <v>1763</v>
      </c>
      <c r="D1157" s="1" t="s">
        <v>1918</v>
      </c>
      <c r="E1157">
        <v>955</v>
      </c>
      <c r="F1157">
        <v>960</v>
      </c>
      <c r="G1157">
        <v>1000</v>
      </c>
      <c r="H1157">
        <v>1540</v>
      </c>
    </row>
    <row r="1158" spans="1:8" x14ac:dyDescent="0.25">
      <c r="A1158" s="10">
        <v>1791</v>
      </c>
      <c r="B1158" t="s">
        <v>1715</v>
      </c>
      <c r="C1158" s="2" t="s">
        <v>1764</v>
      </c>
      <c r="D1158" s="1" t="s">
        <v>1918</v>
      </c>
      <c r="E1158">
        <v>955</v>
      </c>
      <c r="F1158">
        <v>960</v>
      </c>
      <c r="G1158">
        <v>1000</v>
      </c>
      <c r="H1158">
        <v>1540</v>
      </c>
    </row>
    <row r="1159" spans="1:8" x14ac:dyDescent="0.25">
      <c r="A1159" s="10">
        <v>1792</v>
      </c>
      <c r="B1159" t="s">
        <v>1716</v>
      </c>
      <c r="C1159" s="2" t="s">
        <v>1765</v>
      </c>
      <c r="D1159" s="1" t="s">
        <v>1918</v>
      </c>
      <c r="E1159">
        <v>955</v>
      </c>
      <c r="F1159">
        <v>960</v>
      </c>
      <c r="G1159">
        <v>1000</v>
      </c>
      <c r="H1159">
        <v>1540</v>
      </c>
    </row>
    <row r="1160" spans="1:8" x14ac:dyDescent="0.25">
      <c r="A1160" s="10">
        <v>1793</v>
      </c>
      <c r="B1160" t="s">
        <v>1717</v>
      </c>
      <c r="C1160" s="2" t="s">
        <v>1766</v>
      </c>
      <c r="D1160" s="1" t="s">
        <v>1918</v>
      </c>
      <c r="E1160">
        <v>955</v>
      </c>
      <c r="F1160">
        <v>960</v>
      </c>
      <c r="G1160">
        <v>1000</v>
      </c>
      <c r="H1160">
        <v>1540</v>
      </c>
    </row>
    <row r="1161" spans="1:8" x14ac:dyDescent="0.25">
      <c r="A1161" s="10">
        <v>1794</v>
      </c>
      <c r="B1161" t="s">
        <v>1718</v>
      </c>
      <c r="C1161" s="2" t="s">
        <v>1767</v>
      </c>
      <c r="D1161" s="1" t="s">
        <v>1918</v>
      </c>
      <c r="E1161">
        <v>955</v>
      </c>
      <c r="F1161">
        <v>960</v>
      </c>
      <c r="G1161">
        <v>1000</v>
      </c>
      <c r="H1161">
        <v>1540</v>
      </c>
    </row>
    <row r="1162" spans="1:8" x14ac:dyDescent="0.25">
      <c r="A1162" s="10">
        <v>1795</v>
      </c>
      <c r="B1162" t="s">
        <v>1719</v>
      </c>
      <c r="C1162" s="2" t="s">
        <v>1768</v>
      </c>
      <c r="D1162" s="1" t="s">
        <v>1918</v>
      </c>
      <c r="E1162">
        <v>955</v>
      </c>
      <c r="F1162">
        <v>960</v>
      </c>
      <c r="G1162">
        <v>1000</v>
      </c>
      <c r="H1162">
        <v>1540</v>
      </c>
    </row>
    <row r="1163" spans="1:8" x14ac:dyDescent="0.25">
      <c r="A1163" s="10">
        <v>1796</v>
      </c>
      <c r="B1163" t="s">
        <v>1720</v>
      </c>
      <c r="C1163" s="2" t="s">
        <v>1769</v>
      </c>
      <c r="D1163" s="1" t="s">
        <v>1918</v>
      </c>
      <c r="E1163">
        <v>955</v>
      </c>
      <c r="F1163">
        <v>960</v>
      </c>
      <c r="G1163">
        <v>1000</v>
      </c>
      <c r="H1163">
        <v>1540</v>
      </c>
    </row>
    <row r="1164" spans="1:8" x14ac:dyDescent="0.25">
      <c r="A1164" s="10">
        <v>1797</v>
      </c>
      <c r="B1164" t="s">
        <v>1721</v>
      </c>
      <c r="C1164" s="2" t="s">
        <v>1770</v>
      </c>
      <c r="D1164" s="1" t="s">
        <v>1918</v>
      </c>
      <c r="E1164">
        <v>955</v>
      </c>
      <c r="F1164">
        <v>960</v>
      </c>
      <c r="G1164">
        <v>1000</v>
      </c>
      <c r="H1164">
        <v>1540</v>
      </c>
    </row>
    <row r="1165" spans="1:8" x14ac:dyDescent="0.25">
      <c r="C1165" s="5"/>
    </row>
    <row r="1166" spans="1:8" x14ac:dyDescent="0.25">
      <c r="A1166" s="10">
        <v>1798</v>
      </c>
      <c r="B1166" t="s">
        <v>1673</v>
      </c>
      <c r="C1166" s="2" t="s">
        <v>1771</v>
      </c>
      <c r="D1166" s="1" t="s">
        <v>1919</v>
      </c>
      <c r="E1166">
        <v>1736</v>
      </c>
      <c r="F1166">
        <v>1850</v>
      </c>
      <c r="G1166">
        <v>2000</v>
      </c>
      <c r="H1166">
        <v>2800</v>
      </c>
    </row>
    <row r="1167" spans="1:8" x14ac:dyDescent="0.25">
      <c r="A1167" s="10">
        <v>1799</v>
      </c>
      <c r="B1167" t="s">
        <v>1674</v>
      </c>
      <c r="C1167" s="2" t="s">
        <v>1772</v>
      </c>
      <c r="D1167" s="1" t="s">
        <v>1919</v>
      </c>
      <c r="E1167">
        <v>1736</v>
      </c>
      <c r="F1167">
        <v>1850</v>
      </c>
      <c r="G1167">
        <v>2000</v>
      </c>
      <c r="H1167">
        <v>2800</v>
      </c>
    </row>
    <row r="1168" spans="1:8" x14ac:dyDescent="0.25">
      <c r="A1168" s="10">
        <v>1800</v>
      </c>
      <c r="B1168" t="s">
        <v>1675</v>
      </c>
      <c r="C1168" s="2" t="s">
        <v>1773</v>
      </c>
      <c r="D1168" s="1" t="s">
        <v>1919</v>
      </c>
      <c r="E1168">
        <v>1736</v>
      </c>
      <c r="F1168">
        <v>1850</v>
      </c>
      <c r="G1168">
        <v>2000</v>
      </c>
      <c r="H1168">
        <v>2800</v>
      </c>
    </row>
    <row r="1169" spans="1:8" x14ac:dyDescent="0.25">
      <c r="A1169" s="10">
        <v>1801</v>
      </c>
      <c r="B1169" t="s">
        <v>1676</v>
      </c>
      <c r="C1169" s="2" t="s">
        <v>1774</v>
      </c>
      <c r="D1169" s="1" t="s">
        <v>1919</v>
      </c>
      <c r="E1169">
        <v>1736</v>
      </c>
      <c r="F1169">
        <v>1850</v>
      </c>
      <c r="G1169">
        <v>2000</v>
      </c>
      <c r="H1169">
        <v>2800</v>
      </c>
    </row>
    <row r="1170" spans="1:8" x14ac:dyDescent="0.25">
      <c r="A1170" s="10">
        <v>1802</v>
      </c>
      <c r="B1170" t="s">
        <v>1677</v>
      </c>
      <c r="C1170" s="2" t="s">
        <v>1775</v>
      </c>
      <c r="D1170" s="1" t="s">
        <v>1919</v>
      </c>
      <c r="E1170">
        <v>1736</v>
      </c>
      <c r="F1170">
        <v>1850</v>
      </c>
      <c r="G1170">
        <v>2000</v>
      </c>
      <c r="H1170">
        <v>2800</v>
      </c>
    </row>
    <row r="1171" spans="1:8" x14ac:dyDescent="0.25">
      <c r="A1171" s="10">
        <v>1803</v>
      </c>
      <c r="B1171" t="s">
        <v>1678</v>
      </c>
      <c r="C1171" s="2" t="s">
        <v>1776</v>
      </c>
      <c r="D1171" s="1" t="s">
        <v>1919</v>
      </c>
      <c r="E1171">
        <v>1736</v>
      </c>
      <c r="F1171">
        <v>1850</v>
      </c>
      <c r="G1171">
        <v>2000</v>
      </c>
      <c r="H1171">
        <v>2800</v>
      </c>
    </row>
    <row r="1172" spans="1:8" x14ac:dyDescent="0.25">
      <c r="A1172" s="10">
        <v>1804</v>
      </c>
      <c r="B1172" t="s">
        <v>1679</v>
      </c>
      <c r="C1172" s="2" t="s">
        <v>1777</v>
      </c>
      <c r="D1172" s="1" t="s">
        <v>1919</v>
      </c>
      <c r="E1172">
        <v>1736</v>
      </c>
      <c r="F1172">
        <v>1850</v>
      </c>
      <c r="G1172">
        <v>2000</v>
      </c>
      <c r="H1172">
        <v>2800</v>
      </c>
    </row>
    <row r="1173" spans="1:8" x14ac:dyDescent="0.25">
      <c r="A1173" s="10">
        <v>1805</v>
      </c>
      <c r="B1173" t="s">
        <v>1680</v>
      </c>
      <c r="C1173" s="2" t="s">
        <v>1778</v>
      </c>
      <c r="D1173" s="1" t="s">
        <v>1919</v>
      </c>
      <c r="E1173">
        <v>1736</v>
      </c>
      <c r="F1173">
        <v>1850</v>
      </c>
      <c r="G1173">
        <v>2000</v>
      </c>
      <c r="H1173">
        <v>2800</v>
      </c>
    </row>
    <row r="1174" spans="1:8" x14ac:dyDescent="0.25">
      <c r="A1174" s="10">
        <v>1806</v>
      </c>
      <c r="B1174" t="s">
        <v>1681</v>
      </c>
      <c r="C1174" s="2" t="s">
        <v>1779</v>
      </c>
      <c r="D1174" s="1" t="s">
        <v>1919</v>
      </c>
      <c r="E1174">
        <v>1736</v>
      </c>
      <c r="F1174">
        <v>1850</v>
      </c>
      <c r="G1174">
        <v>2000</v>
      </c>
      <c r="H1174">
        <v>2800</v>
      </c>
    </row>
    <row r="1175" spans="1:8" x14ac:dyDescent="0.25">
      <c r="A1175" s="10">
        <v>1807</v>
      </c>
      <c r="B1175" t="s">
        <v>1682</v>
      </c>
      <c r="C1175" s="2" t="s">
        <v>1780</v>
      </c>
      <c r="D1175" s="1" t="s">
        <v>1919</v>
      </c>
      <c r="E1175">
        <v>1736</v>
      </c>
      <c r="F1175">
        <v>1850</v>
      </c>
      <c r="G1175">
        <v>2000</v>
      </c>
      <c r="H1175">
        <v>2800</v>
      </c>
    </row>
    <row r="1176" spans="1:8" x14ac:dyDescent="0.25">
      <c r="A1176" s="10">
        <v>1808</v>
      </c>
      <c r="B1176" t="s">
        <v>1683</v>
      </c>
      <c r="C1176" s="2" t="s">
        <v>1781</v>
      </c>
      <c r="D1176" s="1" t="s">
        <v>1919</v>
      </c>
      <c r="E1176">
        <v>1736</v>
      </c>
      <c r="F1176">
        <v>1850</v>
      </c>
      <c r="G1176">
        <v>2000</v>
      </c>
      <c r="H1176">
        <v>2800</v>
      </c>
    </row>
    <row r="1177" spans="1:8" x14ac:dyDescent="0.25">
      <c r="A1177" s="10">
        <v>1809</v>
      </c>
      <c r="B1177" t="s">
        <v>1684</v>
      </c>
      <c r="C1177" s="2" t="s">
        <v>1782</v>
      </c>
      <c r="D1177" s="1" t="s">
        <v>1919</v>
      </c>
      <c r="E1177">
        <v>1736</v>
      </c>
      <c r="F1177">
        <v>1850</v>
      </c>
      <c r="G1177">
        <v>2000</v>
      </c>
      <c r="H1177">
        <v>2800</v>
      </c>
    </row>
    <row r="1178" spans="1:8" x14ac:dyDescent="0.25">
      <c r="A1178" s="10">
        <v>1810</v>
      </c>
      <c r="B1178" t="s">
        <v>1685</v>
      </c>
      <c r="C1178" s="2" t="s">
        <v>1783</v>
      </c>
      <c r="D1178" s="1" t="s">
        <v>1919</v>
      </c>
      <c r="E1178">
        <v>1736</v>
      </c>
      <c r="F1178">
        <v>1850</v>
      </c>
      <c r="G1178">
        <v>2000</v>
      </c>
      <c r="H1178">
        <v>2800</v>
      </c>
    </row>
    <row r="1179" spans="1:8" x14ac:dyDescent="0.25">
      <c r="A1179" s="10">
        <v>1811</v>
      </c>
      <c r="B1179" t="s">
        <v>1686</v>
      </c>
      <c r="C1179" s="2" t="s">
        <v>1784</v>
      </c>
      <c r="D1179" s="1" t="s">
        <v>1919</v>
      </c>
      <c r="E1179">
        <v>1736</v>
      </c>
      <c r="F1179">
        <v>1850</v>
      </c>
      <c r="G1179">
        <v>2000</v>
      </c>
      <c r="H1179">
        <v>2800</v>
      </c>
    </row>
    <row r="1180" spans="1:8" x14ac:dyDescent="0.25">
      <c r="A1180" s="10">
        <v>1812</v>
      </c>
      <c r="B1180" t="s">
        <v>1687</v>
      </c>
      <c r="C1180" s="2" t="s">
        <v>1785</v>
      </c>
      <c r="D1180" s="1" t="s">
        <v>1919</v>
      </c>
      <c r="E1180">
        <v>1736</v>
      </c>
      <c r="F1180">
        <v>1850</v>
      </c>
      <c r="G1180">
        <v>2000</v>
      </c>
      <c r="H1180">
        <v>2800</v>
      </c>
    </row>
    <row r="1181" spans="1:8" x14ac:dyDescent="0.25">
      <c r="A1181" s="10">
        <v>1813</v>
      </c>
      <c r="B1181" t="s">
        <v>1688</v>
      </c>
      <c r="C1181" s="2" t="s">
        <v>1786</v>
      </c>
      <c r="D1181" s="1" t="s">
        <v>1919</v>
      </c>
      <c r="E1181">
        <v>1736</v>
      </c>
      <c r="F1181">
        <v>1850</v>
      </c>
      <c r="G1181">
        <v>2000</v>
      </c>
      <c r="H1181">
        <v>2800</v>
      </c>
    </row>
    <row r="1182" spans="1:8" x14ac:dyDescent="0.25">
      <c r="A1182" s="10">
        <v>1814</v>
      </c>
      <c r="B1182" t="s">
        <v>1689</v>
      </c>
      <c r="C1182" s="2" t="s">
        <v>1787</v>
      </c>
      <c r="D1182" s="1" t="s">
        <v>1919</v>
      </c>
      <c r="E1182">
        <v>1736</v>
      </c>
      <c r="F1182">
        <v>1850</v>
      </c>
      <c r="G1182">
        <v>2000</v>
      </c>
      <c r="H1182">
        <v>2800</v>
      </c>
    </row>
    <row r="1183" spans="1:8" x14ac:dyDescent="0.25">
      <c r="A1183" s="10">
        <v>1815</v>
      </c>
      <c r="B1183" t="s">
        <v>1690</v>
      </c>
      <c r="C1183" s="2" t="s">
        <v>1788</v>
      </c>
      <c r="D1183" s="1" t="s">
        <v>1919</v>
      </c>
      <c r="E1183">
        <v>1736</v>
      </c>
      <c r="F1183">
        <v>1850</v>
      </c>
      <c r="G1183">
        <v>2000</v>
      </c>
      <c r="H1183">
        <v>2800</v>
      </c>
    </row>
    <row r="1184" spans="1:8" x14ac:dyDescent="0.25">
      <c r="A1184" s="10">
        <v>1816</v>
      </c>
      <c r="B1184" t="s">
        <v>1691</v>
      </c>
      <c r="C1184" s="2" t="s">
        <v>1789</v>
      </c>
      <c r="D1184" s="1" t="s">
        <v>1919</v>
      </c>
      <c r="E1184">
        <v>1736</v>
      </c>
      <c r="F1184">
        <v>1850</v>
      </c>
      <c r="G1184">
        <v>2000</v>
      </c>
      <c r="H1184">
        <v>2800</v>
      </c>
    </row>
    <row r="1185" spans="1:8" x14ac:dyDescent="0.25">
      <c r="A1185" s="10">
        <v>1817</v>
      </c>
      <c r="B1185" t="s">
        <v>1692</v>
      </c>
      <c r="C1185" s="2" t="s">
        <v>1790</v>
      </c>
      <c r="D1185" s="1" t="s">
        <v>1919</v>
      </c>
      <c r="E1185">
        <v>1736</v>
      </c>
      <c r="F1185">
        <v>1850</v>
      </c>
      <c r="G1185">
        <v>2000</v>
      </c>
      <c r="H1185">
        <v>2800</v>
      </c>
    </row>
    <row r="1186" spans="1:8" x14ac:dyDescent="0.25">
      <c r="A1186" s="10">
        <v>1818</v>
      </c>
      <c r="B1186" t="s">
        <v>1693</v>
      </c>
      <c r="C1186" s="2" t="s">
        <v>1791</v>
      </c>
      <c r="D1186" s="1" t="s">
        <v>1919</v>
      </c>
      <c r="E1186">
        <v>1736</v>
      </c>
      <c r="F1186">
        <v>1850</v>
      </c>
      <c r="G1186">
        <v>2000</v>
      </c>
      <c r="H1186">
        <v>2800</v>
      </c>
    </row>
    <row r="1187" spans="1:8" x14ac:dyDescent="0.25">
      <c r="A1187" s="10">
        <v>1819</v>
      </c>
      <c r="B1187" t="s">
        <v>1694</v>
      </c>
      <c r="C1187" s="2" t="s">
        <v>1792</v>
      </c>
      <c r="D1187" s="1" t="s">
        <v>1919</v>
      </c>
      <c r="E1187">
        <v>1736</v>
      </c>
      <c r="F1187">
        <v>1850</v>
      </c>
      <c r="G1187">
        <v>2000</v>
      </c>
      <c r="H1187">
        <v>2800</v>
      </c>
    </row>
    <row r="1188" spans="1:8" x14ac:dyDescent="0.25">
      <c r="A1188" s="10">
        <v>1820</v>
      </c>
      <c r="B1188" t="s">
        <v>1695</v>
      </c>
      <c r="C1188" s="2" t="s">
        <v>1793</v>
      </c>
      <c r="D1188" s="1" t="s">
        <v>1919</v>
      </c>
      <c r="E1188">
        <v>1736</v>
      </c>
      <c r="F1188">
        <v>1850</v>
      </c>
      <c r="G1188">
        <v>2000</v>
      </c>
      <c r="H1188">
        <v>2800</v>
      </c>
    </row>
    <row r="1189" spans="1:8" x14ac:dyDescent="0.25">
      <c r="A1189" s="10">
        <v>1821</v>
      </c>
      <c r="B1189" t="s">
        <v>1696</v>
      </c>
      <c r="C1189" s="2" t="s">
        <v>1794</v>
      </c>
      <c r="D1189" s="1" t="s">
        <v>1919</v>
      </c>
      <c r="E1189">
        <v>1736</v>
      </c>
      <c r="F1189">
        <v>1850</v>
      </c>
      <c r="G1189">
        <v>2000</v>
      </c>
      <c r="H1189">
        <v>2800</v>
      </c>
    </row>
    <row r="1190" spans="1:8" x14ac:dyDescent="0.25">
      <c r="A1190" s="10">
        <v>1822</v>
      </c>
      <c r="B1190" t="s">
        <v>1697</v>
      </c>
      <c r="C1190" s="2" t="s">
        <v>1795</v>
      </c>
      <c r="D1190" s="1" t="s">
        <v>1919</v>
      </c>
      <c r="E1190">
        <v>1736</v>
      </c>
      <c r="F1190">
        <v>1850</v>
      </c>
      <c r="G1190">
        <v>2000</v>
      </c>
      <c r="H1190">
        <v>2800</v>
      </c>
    </row>
    <row r="1191" spans="1:8" x14ac:dyDescent="0.25">
      <c r="A1191" s="10">
        <v>1823</v>
      </c>
      <c r="B1191" t="s">
        <v>1698</v>
      </c>
      <c r="C1191" s="2" t="s">
        <v>1796</v>
      </c>
      <c r="D1191" s="1" t="s">
        <v>1919</v>
      </c>
      <c r="E1191">
        <v>1736</v>
      </c>
      <c r="F1191">
        <v>1850</v>
      </c>
      <c r="G1191">
        <v>2000</v>
      </c>
      <c r="H1191">
        <v>2800</v>
      </c>
    </row>
    <row r="1192" spans="1:8" x14ac:dyDescent="0.25">
      <c r="A1192" s="10">
        <v>1824</v>
      </c>
      <c r="B1192" t="s">
        <v>1699</v>
      </c>
      <c r="C1192" s="2" t="s">
        <v>1797</v>
      </c>
      <c r="D1192" s="1" t="s">
        <v>1919</v>
      </c>
      <c r="E1192">
        <v>1736</v>
      </c>
      <c r="F1192">
        <v>1850</v>
      </c>
      <c r="G1192">
        <v>2000</v>
      </c>
      <c r="H1192">
        <v>2800</v>
      </c>
    </row>
    <row r="1193" spans="1:8" x14ac:dyDescent="0.25">
      <c r="A1193" s="10">
        <v>1825</v>
      </c>
      <c r="B1193" t="s">
        <v>1700</v>
      </c>
      <c r="C1193" s="2" t="s">
        <v>1798</v>
      </c>
      <c r="D1193" s="1" t="s">
        <v>1919</v>
      </c>
      <c r="E1193">
        <v>1736</v>
      </c>
      <c r="F1193">
        <v>1850</v>
      </c>
      <c r="G1193">
        <v>2000</v>
      </c>
      <c r="H1193">
        <v>2800</v>
      </c>
    </row>
    <row r="1194" spans="1:8" x14ac:dyDescent="0.25">
      <c r="A1194" s="10">
        <v>1826</v>
      </c>
      <c r="B1194" t="s">
        <v>1701</v>
      </c>
      <c r="C1194" s="2" t="s">
        <v>1799</v>
      </c>
      <c r="D1194" s="1" t="s">
        <v>1919</v>
      </c>
      <c r="E1194">
        <v>1736</v>
      </c>
      <c r="F1194">
        <v>1850</v>
      </c>
      <c r="G1194">
        <v>2000</v>
      </c>
      <c r="H1194">
        <v>2800</v>
      </c>
    </row>
    <row r="1195" spans="1:8" x14ac:dyDescent="0.25">
      <c r="A1195" s="10">
        <v>1827</v>
      </c>
      <c r="B1195" t="s">
        <v>1702</v>
      </c>
      <c r="C1195" s="2" t="s">
        <v>1800</v>
      </c>
      <c r="D1195" s="1" t="s">
        <v>1919</v>
      </c>
      <c r="E1195">
        <v>1736</v>
      </c>
      <c r="F1195">
        <v>1850</v>
      </c>
      <c r="G1195">
        <v>2000</v>
      </c>
      <c r="H1195">
        <v>2800</v>
      </c>
    </row>
    <row r="1196" spans="1:8" x14ac:dyDescent="0.25">
      <c r="A1196" s="10">
        <v>1828</v>
      </c>
      <c r="B1196" t="s">
        <v>1703</v>
      </c>
      <c r="C1196" s="2" t="s">
        <v>1801</v>
      </c>
      <c r="D1196" s="1" t="s">
        <v>1919</v>
      </c>
      <c r="E1196">
        <v>1736</v>
      </c>
      <c r="F1196">
        <v>1850</v>
      </c>
      <c r="G1196">
        <v>2000</v>
      </c>
      <c r="H1196">
        <v>2800</v>
      </c>
    </row>
    <row r="1197" spans="1:8" x14ac:dyDescent="0.25">
      <c r="A1197" s="10">
        <v>1829</v>
      </c>
      <c r="B1197" t="s">
        <v>1704</v>
      </c>
      <c r="C1197" s="2" t="s">
        <v>1802</v>
      </c>
      <c r="D1197" s="1" t="s">
        <v>1919</v>
      </c>
      <c r="E1197">
        <v>1736</v>
      </c>
      <c r="F1197">
        <v>1850</v>
      </c>
      <c r="G1197">
        <v>2000</v>
      </c>
      <c r="H1197">
        <v>2800</v>
      </c>
    </row>
    <row r="1198" spans="1:8" x14ac:dyDescent="0.25">
      <c r="A1198" s="10">
        <v>1830</v>
      </c>
      <c r="B1198" t="s">
        <v>1705</v>
      </c>
      <c r="C1198" s="2" t="s">
        <v>1803</v>
      </c>
      <c r="D1198" s="1" t="s">
        <v>1919</v>
      </c>
      <c r="E1198">
        <v>1736</v>
      </c>
      <c r="F1198">
        <v>1850</v>
      </c>
      <c r="G1198">
        <v>2000</v>
      </c>
      <c r="H1198">
        <v>2800</v>
      </c>
    </row>
    <row r="1199" spans="1:8" x14ac:dyDescent="0.25">
      <c r="A1199" s="10">
        <v>1831</v>
      </c>
      <c r="B1199" t="s">
        <v>1706</v>
      </c>
      <c r="C1199" s="2" t="s">
        <v>1804</v>
      </c>
      <c r="D1199" s="1" t="s">
        <v>1919</v>
      </c>
      <c r="E1199">
        <v>1736</v>
      </c>
      <c r="F1199">
        <v>1850</v>
      </c>
      <c r="G1199">
        <v>2000</v>
      </c>
      <c r="H1199">
        <v>2800</v>
      </c>
    </row>
    <row r="1200" spans="1:8" x14ac:dyDescent="0.25">
      <c r="A1200" s="10">
        <v>1832</v>
      </c>
      <c r="B1200" t="s">
        <v>1707</v>
      </c>
      <c r="C1200" s="2" t="s">
        <v>1805</v>
      </c>
      <c r="D1200" s="1" t="s">
        <v>1919</v>
      </c>
      <c r="E1200">
        <v>1736</v>
      </c>
      <c r="F1200">
        <v>1850</v>
      </c>
      <c r="G1200">
        <v>2000</v>
      </c>
      <c r="H1200">
        <v>2800</v>
      </c>
    </row>
    <row r="1201" spans="1:8" x14ac:dyDescent="0.25">
      <c r="A1201" s="10">
        <v>1833</v>
      </c>
      <c r="B1201" t="s">
        <v>1708</v>
      </c>
      <c r="C1201" s="2" t="s">
        <v>1806</v>
      </c>
      <c r="D1201" s="1" t="s">
        <v>1919</v>
      </c>
      <c r="E1201">
        <v>1736</v>
      </c>
      <c r="F1201">
        <v>1850</v>
      </c>
      <c r="G1201">
        <v>2000</v>
      </c>
      <c r="H1201">
        <v>2800</v>
      </c>
    </row>
    <row r="1202" spans="1:8" x14ac:dyDescent="0.25">
      <c r="A1202" s="10">
        <v>1834</v>
      </c>
      <c r="B1202" t="s">
        <v>1709</v>
      </c>
      <c r="C1202" s="2" t="s">
        <v>1807</v>
      </c>
      <c r="D1202" s="1" t="s">
        <v>1919</v>
      </c>
      <c r="E1202">
        <v>1736</v>
      </c>
      <c r="F1202">
        <v>1850</v>
      </c>
      <c r="G1202">
        <v>2000</v>
      </c>
      <c r="H1202">
        <v>2800</v>
      </c>
    </row>
    <row r="1203" spans="1:8" x14ac:dyDescent="0.25">
      <c r="A1203" s="10">
        <v>1835</v>
      </c>
      <c r="B1203" t="s">
        <v>1710</v>
      </c>
      <c r="C1203" s="2" t="s">
        <v>1808</v>
      </c>
      <c r="D1203" s="1" t="s">
        <v>1919</v>
      </c>
      <c r="E1203">
        <v>1736</v>
      </c>
      <c r="F1203">
        <v>1850</v>
      </c>
      <c r="G1203">
        <v>2000</v>
      </c>
      <c r="H1203">
        <v>2800</v>
      </c>
    </row>
    <row r="1204" spans="1:8" x14ac:dyDescent="0.25">
      <c r="A1204" s="10">
        <v>1836</v>
      </c>
      <c r="B1204" t="s">
        <v>1711</v>
      </c>
      <c r="C1204" s="2" t="s">
        <v>1809</v>
      </c>
      <c r="D1204" s="1" t="s">
        <v>1919</v>
      </c>
      <c r="E1204">
        <v>1736</v>
      </c>
      <c r="F1204">
        <v>1850</v>
      </c>
      <c r="G1204">
        <v>2000</v>
      </c>
      <c r="H1204">
        <v>2800</v>
      </c>
    </row>
    <row r="1205" spans="1:8" x14ac:dyDescent="0.25">
      <c r="A1205" s="10">
        <v>1837</v>
      </c>
      <c r="B1205" t="s">
        <v>1712</v>
      </c>
      <c r="C1205" s="2" t="s">
        <v>1810</v>
      </c>
      <c r="D1205" s="1" t="s">
        <v>1919</v>
      </c>
      <c r="E1205">
        <v>1736</v>
      </c>
      <c r="F1205">
        <v>1850</v>
      </c>
      <c r="G1205">
        <v>2000</v>
      </c>
      <c r="H1205">
        <v>2800</v>
      </c>
    </row>
    <row r="1206" spans="1:8" x14ac:dyDescent="0.25">
      <c r="A1206" s="10">
        <v>1838</v>
      </c>
      <c r="B1206" t="s">
        <v>1713</v>
      </c>
      <c r="C1206" s="2" t="s">
        <v>1811</v>
      </c>
      <c r="D1206" s="1" t="s">
        <v>1919</v>
      </c>
      <c r="E1206">
        <v>1736</v>
      </c>
      <c r="F1206">
        <v>1850</v>
      </c>
      <c r="G1206">
        <v>2000</v>
      </c>
      <c r="H1206">
        <v>2800</v>
      </c>
    </row>
    <row r="1207" spans="1:8" x14ac:dyDescent="0.25">
      <c r="A1207" s="10">
        <v>1839</v>
      </c>
      <c r="B1207" t="s">
        <v>1714</v>
      </c>
      <c r="C1207" s="2" t="s">
        <v>1812</v>
      </c>
      <c r="D1207" s="1" t="s">
        <v>1919</v>
      </c>
      <c r="E1207">
        <v>1736</v>
      </c>
      <c r="F1207">
        <v>1850</v>
      </c>
      <c r="G1207">
        <v>2000</v>
      </c>
      <c r="H1207">
        <v>2800</v>
      </c>
    </row>
    <row r="1208" spans="1:8" x14ac:dyDescent="0.25">
      <c r="A1208" s="10">
        <v>1840</v>
      </c>
      <c r="B1208" t="s">
        <v>1715</v>
      </c>
      <c r="C1208" s="2" t="s">
        <v>1813</v>
      </c>
      <c r="D1208" s="1" t="s">
        <v>1919</v>
      </c>
      <c r="E1208">
        <v>1736</v>
      </c>
      <c r="F1208">
        <v>1850</v>
      </c>
      <c r="G1208">
        <v>2000</v>
      </c>
      <c r="H1208">
        <v>2800</v>
      </c>
    </row>
    <row r="1209" spans="1:8" x14ac:dyDescent="0.25">
      <c r="A1209" s="10">
        <v>1841</v>
      </c>
      <c r="B1209" t="s">
        <v>1716</v>
      </c>
      <c r="C1209" s="2" t="s">
        <v>1814</v>
      </c>
      <c r="D1209" s="1" t="s">
        <v>1919</v>
      </c>
      <c r="E1209">
        <v>1736</v>
      </c>
      <c r="F1209">
        <v>1850</v>
      </c>
      <c r="G1209">
        <v>2000</v>
      </c>
      <c r="H1209">
        <v>2800</v>
      </c>
    </row>
    <row r="1210" spans="1:8" x14ac:dyDescent="0.25">
      <c r="A1210" s="10">
        <v>1842</v>
      </c>
      <c r="B1210" t="s">
        <v>1717</v>
      </c>
      <c r="C1210" s="2" t="s">
        <v>1815</v>
      </c>
      <c r="D1210" s="1" t="s">
        <v>1919</v>
      </c>
      <c r="E1210">
        <v>1736</v>
      </c>
      <c r="F1210">
        <v>1850</v>
      </c>
      <c r="G1210">
        <v>2000</v>
      </c>
      <c r="H1210">
        <v>2800</v>
      </c>
    </row>
    <row r="1211" spans="1:8" x14ac:dyDescent="0.25">
      <c r="A1211" s="10">
        <v>1843</v>
      </c>
      <c r="B1211" t="s">
        <v>1718</v>
      </c>
      <c r="C1211" s="2" t="s">
        <v>1816</v>
      </c>
      <c r="D1211" s="1" t="s">
        <v>1919</v>
      </c>
      <c r="E1211">
        <v>1736</v>
      </c>
      <c r="F1211">
        <v>1850</v>
      </c>
      <c r="G1211">
        <v>2000</v>
      </c>
      <c r="H1211">
        <v>2800</v>
      </c>
    </row>
    <row r="1212" spans="1:8" x14ac:dyDescent="0.25">
      <c r="A1212" s="10">
        <v>1844</v>
      </c>
      <c r="B1212" t="s">
        <v>1719</v>
      </c>
      <c r="C1212" s="2" t="s">
        <v>1817</v>
      </c>
      <c r="D1212" s="1" t="s">
        <v>1919</v>
      </c>
      <c r="E1212">
        <v>1736</v>
      </c>
      <c r="F1212">
        <v>1850</v>
      </c>
      <c r="G1212">
        <v>2000</v>
      </c>
      <c r="H1212">
        <v>2800</v>
      </c>
    </row>
    <row r="1213" spans="1:8" x14ac:dyDescent="0.25">
      <c r="A1213" s="10">
        <v>1845</v>
      </c>
      <c r="B1213" t="s">
        <v>1720</v>
      </c>
      <c r="C1213" s="2" t="s">
        <v>1818</v>
      </c>
      <c r="D1213" s="1" t="s">
        <v>1919</v>
      </c>
      <c r="E1213">
        <v>1736</v>
      </c>
      <c r="F1213">
        <v>1850</v>
      </c>
      <c r="G1213">
        <v>2000</v>
      </c>
      <c r="H1213">
        <v>2800</v>
      </c>
    </row>
    <row r="1214" spans="1:8" x14ac:dyDescent="0.25">
      <c r="A1214" s="10">
        <v>1846</v>
      </c>
      <c r="B1214" t="s">
        <v>1721</v>
      </c>
      <c r="C1214" s="2" t="s">
        <v>1819</v>
      </c>
      <c r="D1214" s="1" t="s">
        <v>1919</v>
      </c>
      <c r="E1214">
        <v>1736</v>
      </c>
      <c r="F1214">
        <v>1850</v>
      </c>
      <c r="G1214">
        <v>2000</v>
      </c>
      <c r="H1214">
        <v>2800</v>
      </c>
    </row>
    <row r="1215" spans="1:8" x14ac:dyDescent="0.25">
      <c r="C1215" s="5"/>
    </row>
    <row r="1216" spans="1:8" x14ac:dyDescent="0.25">
      <c r="A1216" s="10">
        <v>1847</v>
      </c>
      <c r="B1216" t="s">
        <v>1673</v>
      </c>
      <c r="C1216" s="2" t="s">
        <v>1820</v>
      </c>
      <c r="D1216" s="1" t="s">
        <v>1920</v>
      </c>
      <c r="E1216">
        <v>6590</v>
      </c>
      <c r="F1216">
        <v>6650</v>
      </c>
      <c r="G1216">
        <v>6900</v>
      </c>
      <c r="H1216">
        <v>10630</v>
      </c>
    </row>
    <row r="1217" spans="1:8" x14ac:dyDescent="0.25">
      <c r="A1217" s="10">
        <v>1848</v>
      </c>
      <c r="B1217" t="s">
        <v>1674</v>
      </c>
      <c r="C1217" s="2" t="s">
        <v>1821</v>
      </c>
      <c r="D1217" s="1" t="s">
        <v>1920</v>
      </c>
      <c r="E1217">
        <v>6590</v>
      </c>
      <c r="F1217">
        <v>6650</v>
      </c>
      <c r="G1217">
        <v>6900</v>
      </c>
      <c r="H1217">
        <v>10630</v>
      </c>
    </row>
    <row r="1218" spans="1:8" x14ac:dyDescent="0.25">
      <c r="A1218" s="10">
        <v>1849</v>
      </c>
      <c r="B1218" t="s">
        <v>1675</v>
      </c>
      <c r="C1218" s="2" t="s">
        <v>1822</v>
      </c>
      <c r="D1218" s="1" t="s">
        <v>1920</v>
      </c>
      <c r="E1218">
        <v>6590</v>
      </c>
      <c r="F1218">
        <v>6650</v>
      </c>
      <c r="G1218">
        <v>6900</v>
      </c>
      <c r="H1218">
        <v>10630</v>
      </c>
    </row>
    <row r="1219" spans="1:8" x14ac:dyDescent="0.25">
      <c r="A1219" s="10">
        <v>1850</v>
      </c>
      <c r="B1219" t="s">
        <v>1676</v>
      </c>
      <c r="C1219" s="2" t="s">
        <v>1823</v>
      </c>
      <c r="D1219" s="1" t="s">
        <v>1920</v>
      </c>
      <c r="E1219">
        <v>6590</v>
      </c>
      <c r="F1219">
        <v>6650</v>
      </c>
      <c r="G1219">
        <v>6900</v>
      </c>
      <c r="H1219">
        <v>10630</v>
      </c>
    </row>
    <row r="1220" spans="1:8" x14ac:dyDescent="0.25">
      <c r="A1220" s="10">
        <v>1851</v>
      </c>
      <c r="B1220" t="s">
        <v>1677</v>
      </c>
      <c r="C1220" s="2" t="s">
        <v>1824</v>
      </c>
      <c r="D1220" s="1" t="s">
        <v>1920</v>
      </c>
      <c r="E1220">
        <v>6590</v>
      </c>
      <c r="F1220">
        <v>6650</v>
      </c>
      <c r="G1220">
        <v>6900</v>
      </c>
      <c r="H1220">
        <v>10630</v>
      </c>
    </row>
    <row r="1221" spans="1:8" x14ac:dyDescent="0.25">
      <c r="A1221" s="10">
        <v>1852</v>
      </c>
      <c r="B1221" t="s">
        <v>1678</v>
      </c>
      <c r="C1221" s="2" t="s">
        <v>1825</v>
      </c>
      <c r="D1221" s="1" t="s">
        <v>1920</v>
      </c>
      <c r="E1221">
        <v>6590</v>
      </c>
      <c r="F1221">
        <v>6650</v>
      </c>
      <c r="G1221">
        <v>6900</v>
      </c>
      <c r="H1221">
        <v>10630</v>
      </c>
    </row>
    <row r="1222" spans="1:8" x14ac:dyDescent="0.25">
      <c r="A1222" s="10">
        <v>1853</v>
      </c>
      <c r="B1222" t="s">
        <v>1679</v>
      </c>
      <c r="C1222" s="2" t="s">
        <v>1826</v>
      </c>
      <c r="D1222" s="1" t="s">
        <v>1920</v>
      </c>
      <c r="E1222">
        <v>6590</v>
      </c>
      <c r="F1222">
        <v>6650</v>
      </c>
      <c r="G1222">
        <v>6900</v>
      </c>
      <c r="H1222">
        <v>10630</v>
      </c>
    </row>
    <row r="1223" spans="1:8" x14ac:dyDescent="0.25">
      <c r="A1223" s="10">
        <v>1854</v>
      </c>
      <c r="B1223" t="s">
        <v>1680</v>
      </c>
      <c r="C1223" s="2" t="s">
        <v>1827</v>
      </c>
      <c r="D1223" s="1" t="s">
        <v>1920</v>
      </c>
      <c r="E1223">
        <v>6590</v>
      </c>
      <c r="F1223">
        <v>6650</v>
      </c>
      <c r="G1223">
        <v>6900</v>
      </c>
      <c r="H1223">
        <v>10630</v>
      </c>
    </row>
    <row r="1224" spans="1:8" x14ac:dyDescent="0.25">
      <c r="A1224" s="10">
        <v>1855</v>
      </c>
      <c r="B1224" t="s">
        <v>1681</v>
      </c>
      <c r="C1224" s="2" t="s">
        <v>1828</v>
      </c>
      <c r="D1224" s="1" t="s">
        <v>1920</v>
      </c>
      <c r="E1224">
        <v>6590</v>
      </c>
      <c r="F1224">
        <v>6650</v>
      </c>
      <c r="G1224">
        <v>6900</v>
      </c>
      <c r="H1224">
        <v>10630</v>
      </c>
    </row>
    <row r="1225" spans="1:8" x14ac:dyDescent="0.25">
      <c r="A1225" s="10">
        <v>1856</v>
      </c>
      <c r="B1225" t="s">
        <v>1682</v>
      </c>
      <c r="C1225" s="2" t="s">
        <v>1829</v>
      </c>
      <c r="D1225" s="1" t="s">
        <v>1920</v>
      </c>
      <c r="E1225">
        <v>6590</v>
      </c>
      <c r="F1225">
        <v>6650</v>
      </c>
      <c r="G1225">
        <v>6900</v>
      </c>
      <c r="H1225">
        <v>10630</v>
      </c>
    </row>
    <row r="1226" spans="1:8" x14ac:dyDescent="0.25">
      <c r="A1226" s="10">
        <v>1857</v>
      </c>
      <c r="B1226" t="s">
        <v>1683</v>
      </c>
      <c r="C1226" s="2" t="s">
        <v>1830</v>
      </c>
      <c r="D1226" s="1" t="s">
        <v>1920</v>
      </c>
      <c r="E1226">
        <v>6590</v>
      </c>
      <c r="F1226">
        <v>6650</v>
      </c>
      <c r="G1226">
        <v>6900</v>
      </c>
      <c r="H1226">
        <v>10630</v>
      </c>
    </row>
    <row r="1227" spans="1:8" x14ac:dyDescent="0.25">
      <c r="A1227" s="10">
        <v>1858</v>
      </c>
      <c r="B1227" t="s">
        <v>1684</v>
      </c>
      <c r="C1227" s="2" t="s">
        <v>1831</v>
      </c>
      <c r="D1227" s="1" t="s">
        <v>1920</v>
      </c>
      <c r="E1227">
        <v>6590</v>
      </c>
      <c r="F1227">
        <v>6650</v>
      </c>
      <c r="G1227">
        <v>6900</v>
      </c>
      <c r="H1227">
        <v>10630</v>
      </c>
    </row>
    <row r="1228" spans="1:8" x14ac:dyDescent="0.25">
      <c r="A1228" s="10">
        <v>1859</v>
      </c>
      <c r="B1228" t="s">
        <v>1685</v>
      </c>
      <c r="C1228" s="2" t="s">
        <v>1832</v>
      </c>
      <c r="D1228" s="1" t="s">
        <v>1920</v>
      </c>
      <c r="E1228">
        <v>6590</v>
      </c>
      <c r="F1228">
        <v>6650</v>
      </c>
      <c r="G1228">
        <v>6900</v>
      </c>
      <c r="H1228">
        <v>10630</v>
      </c>
    </row>
    <row r="1229" spans="1:8" x14ac:dyDescent="0.25">
      <c r="A1229" s="10">
        <v>1860</v>
      </c>
      <c r="B1229" t="s">
        <v>1686</v>
      </c>
      <c r="C1229" s="2" t="s">
        <v>1833</v>
      </c>
      <c r="D1229" s="1" t="s">
        <v>1920</v>
      </c>
      <c r="E1229">
        <v>6590</v>
      </c>
      <c r="F1229">
        <v>6650</v>
      </c>
      <c r="G1229">
        <v>6900</v>
      </c>
      <c r="H1229">
        <v>10630</v>
      </c>
    </row>
    <row r="1230" spans="1:8" x14ac:dyDescent="0.25">
      <c r="A1230" s="10">
        <v>1861</v>
      </c>
      <c r="B1230" t="s">
        <v>1687</v>
      </c>
      <c r="C1230" s="2" t="s">
        <v>1834</v>
      </c>
      <c r="D1230" s="1" t="s">
        <v>1920</v>
      </c>
      <c r="E1230">
        <v>6590</v>
      </c>
      <c r="F1230">
        <v>6650</v>
      </c>
      <c r="G1230">
        <v>6900</v>
      </c>
      <c r="H1230">
        <v>10630</v>
      </c>
    </row>
    <row r="1231" spans="1:8" x14ac:dyDescent="0.25">
      <c r="A1231" s="10">
        <v>1862</v>
      </c>
      <c r="B1231" t="s">
        <v>1688</v>
      </c>
      <c r="C1231" s="2" t="s">
        <v>1835</v>
      </c>
      <c r="D1231" s="1" t="s">
        <v>1920</v>
      </c>
      <c r="E1231">
        <v>6590</v>
      </c>
      <c r="F1231">
        <v>6650</v>
      </c>
      <c r="G1231">
        <v>6900</v>
      </c>
      <c r="H1231">
        <v>10630</v>
      </c>
    </row>
    <row r="1232" spans="1:8" x14ac:dyDescent="0.25">
      <c r="A1232" s="10">
        <v>1863</v>
      </c>
      <c r="B1232" t="s">
        <v>1689</v>
      </c>
      <c r="C1232" s="2" t="s">
        <v>1836</v>
      </c>
      <c r="D1232" s="1" t="s">
        <v>1920</v>
      </c>
      <c r="E1232">
        <v>6590</v>
      </c>
      <c r="F1232">
        <v>6650</v>
      </c>
      <c r="G1232">
        <v>6900</v>
      </c>
      <c r="H1232">
        <v>10630</v>
      </c>
    </row>
    <row r="1233" spans="1:8" x14ac:dyDescent="0.25">
      <c r="A1233" s="10">
        <v>1864</v>
      </c>
      <c r="B1233" t="s">
        <v>1690</v>
      </c>
      <c r="C1233" s="2" t="s">
        <v>1837</v>
      </c>
      <c r="D1233" s="1" t="s">
        <v>1920</v>
      </c>
      <c r="E1233">
        <v>6590</v>
      </c>
      <c r="F1233">
        <v>6650</v>
      </c>
      <c r="G1233">
        <v>6900</v>
      </c>
      <c r="H1233">
        <v>10630</v>
      </c>
    </row>
    <row r="1234" spans="1:8" x14ac:dyDescent="0.25">
      <c r="A1234" s="10">
        <v>1865</v>
      </c>
      <c r="B1234" t="s">
        <v>1691</v>
      </c>
      <c r="C1234" s="2" t="s">
        <v>1838</v>
      </c>
      <c r="D1234" s="1" t="s">
        <v>1920</v>
      </c>
      <c r="E1234">
        <v>6590</v>
      </c>
      <c r="F1234">
        <v>6650</v>
      </c>
      <c r="G1234">
        <v>6900</v>
      </c>
      <c r="H1234">
        <v>10630</v>
      </c>
    </row>
    <row r="1235" spans="1:8" x14ac:dyDescent="0.25">
      <c r="A1235" s="10">
        <v>1866</v>
      </c>
      <c r="B1235" t="s">
        <v>1692</v>
      </c>
      <c r="C1235" s="2" t="s">
        <v>1839</v>
      </c>
      <c r="D1235" s="1" t="s">
        <v>1920</v>
      </c>
      <c r="E1235">
        <v>6590</v>
      </c>
      <c r="F1235">
        <v>6650</v>
      </c>
      <c r="G1235">
        <v>6900</v>
      </c>
      <c r="H1235">
        <v>10630</v>
      </c>
    </row>
    <row r="1236" spans="1:8" x14ac:dyDescent="0.25">
      <c r="A1236" s="10">
        <v>1867</v>
      </c>
      <c r="B1236" t="s">
        <v>1693</v>
      </c>
      <c r="C1236" s="2" t="s">
        <v>1840</v>
      </c>
      <c r="D1236" s="1" t="s">
        <v>1920</v>
      </c>
      <c r="E1236">
        <v>6590</v>
      </c>
      <c r="F1236">
        <v>6650</v>
      </c>
      <c r="G1236">
        <v>6900</v>
      </c>
      <c r="H1236">
        <v>10630</v>
      </c>
    </row>
    <row r="1237" spans="1:8" x14ac:dyDescent="0.25">
      <c r="A1237" s="10">
        <v>1868</v>
      </c>
      <c r="B1237" t="s">
        <v>1694</v>
      </c>
      <c r="C1237" s="2" t="s">
        <v>1841</v>
      </c>
      <c r="D1237" s="1" t="s">
        <v>1920</v>
      </c>
      <c r="E1237">
        <v>6590</v>
      </c>
      <c r="F1237">
        <v>6650</v>
      </c>
      <c r="G1237">
        <v>6900</v>
      </c>
      <c r="H1237">
        <v>10630</v>
      </c>
    </row>
    <row r="1238" spans="1:8" x14ac:dyDescent="0.25">
      <c r="A1238" s="10">
        <v>1869</v>
      </c>
      <c r="B1238" t="s">
        <v>1695</v>
      </c>
      <c r="C1238" s="2" t="s">
        <v>1842</v>
      </c>
      <c r="D1238" s="1" t="s">
        <v>1920</v>
      </c>
      <c r="E1238">
        <v>6590</v>
      </c>
      <c r="F1238">
        <v>6650</v>
      </c>
      <c r="G1238">
        <v>6900</v>
      </c>
      <c r="H1238">
        <v>10630</v>
      </c>
    </row>
    <row r="1239" spans="1:8" x14ac:dyDescent="0.25">
      <c r="A1239" s="10">
        <v>1870</v>
      </c>
      <c r="B1239" t="s">
        <v>1696</v>
      </c>
      <c r="C1239" s="2" t="s">
        <v>1843</v>
      </c>
      <c r="D1239" s="1" t="s">
        <v>1920</v>
      </c>
      <c r="E1239">
        <v>6590</v>
      </c>
      <c r="F1239">
        <v>6650</v>
      </c>
      <c r="G1239">
        <v>6900</v>
      </c>
      <c r="H1239">
        <v>10630</v>
      </c>
    </row>
    <row r="1240" spans="1:8" x14ac:dyDescent="0.25">
      <c r="A1240" s="10">
        <v>1871</v>
      </c>
      <c r="B1240" t="s">
        <v>1697</v>
      </c>
      <c r="C1240" s="2" t="s">
        <v>1844</v>
      </c>
      <c r="D1240" s="1" t="s">
        <v>1920</v>
      </c>
      <c r="E1240">
        <v>6590</v>
      </c>
      <c r="F1240">
        <v>6650</v>
      </c>
      <c r="G1240">
        <v>6900</v>
      </c>
      <c r="H1240">
        <v>10630</v>
      </c>
    </row>
    <row r="1241" spans="1:8" x14ac:dyDescent="0.25">
      <c r="A1241" s="10">
        <v>1872</v>
      </c>
      <c r="B1241" t="s">
        <v>1698</v>
      </c>
      <c r="C1241" s="2" t="s">
        <v>1845</v>
      </c>
      <c r="D1241" s="1" t="s">
        <v>1920</v>
      </c>
      <c r="E1241">
        <v>6590</v>
      </c>
      <c r="F1241">
        <v>6650</v>
      </c>
      <c r="G1241">
        <v>6900</v>
      </c>
      <c r="H1241">
        <v>10630</v>
      </c>
    </row>
    <row r="1242" spans="1:8" x14ac:dyDescent="0.25">
      <c r="A1242" s="10">
        <v>1873</v>
      </c>
      <c r="B1242" t="s">
        <v>1699</v>
      </c>
      <c r="C1242" s="2" t="s">
        <v>1846</v>
      </c>
      <c r="D1242" s="1" t="s">
        <v>1920</v>
      </c>
      <c r="E1242">
        <v>6590</v>
      </c>
      <c r="F1242">
        <v>6650</v>
      </c>
      <c r="G1242">
        <v>6900</v>
      </c>
      <c r="H1242">
        <v>10630</v>
      </c>
    </row>
    <row r="1243" spans="1:8" x14ac:dyDescent="0.25">
      <c r="A1243" s="10">
        <v>1874</v>
      </c>
      <c r="B1243" t="s">
        <v>1700</v>
      </c>
      <c r="C1243" s="2" t="s">
        <v>1847</v>
      </c>
      <c r="D1243" s="1" t="s">
        <v>1920</v>
      </c>
      <c r="E1243">
        <v>6590</v>
      </c>
      <c r="F1243">
        <v>6650</v>
      </c>
      <c r="G1243">
        <v>6900</v>
      </c>
      <c r="H1243">
        <v>10630</v>
      </c>
    </row>
    <row r="1244" spans="1:8" x14ac:dyDescent="0.25">
      <c r="A1244" s="10">
        <v>1875</v>
      </c>
      <c r="B1244" t="s">
        <v>1701</v>
      </c>
      <c r="C1244" s="2" t="s">
        <v>1848</v>
      </c>
      <c r="D1244" s="1" t="s">
        <v>1920</v>
      </c>
      <c r="E1244">
        <v>6590</v>
      </c>
      <c r="F1244">
        <v>6650</v>
      </c>
      <c r="G1244">
        <v>6900</v>
      </c>
      <c r="H1244">
        <v>10630</v>
      </c>
    </row>
    <row r="1245" spans="1:8" x14ac:dyDescent="0.25">
      <c r="A1245" s="10">
        <v>1876</v>
      </c>
      <c r="B1245" t="s">
        <v>1702</v>
      </c>
      <c r="C1245" s="2" t="s">
        <v>1849</v>
      </c>
      <c r="D1245" s="1" t="s">
        <v>1920</v>
      </c>
      <c r="E1245">
        <v>6590</v>
      </c>
      <c r="F1245">
        <v>6650</v>
      </c>
      <c r="G1245">
        <v>6900</v>
      </c>
      <c r="H1245">
        <v>10630</v>
      </c>
    </row>
    <row r="1246" spans="1:8" x14ac:dyDescent="0.25">
      <c r="A1246" s="10">
        <v>1877</v>
      </c>
      <c r="B1246" t="s">
        <v>1703</v>
      </c>
      <c r="C1246" s="2" t="s">
        <v>1850</v>
      </c>
      <c r="D1246" s="1" t="s">
        <v>1920</v>
      </c>
      <c r="E1246">
        <v>6590</v>
      </c>
      <c r="F1246">
        <v>6650</v>
      </c>
      <c r="G1246">
        <v>6900</v>
      </c>
      <c r="H1246">
        <v>10630</v>
      </c>
    </row>
    <row r="1247" spans="1:8" x14ac:dyDescent="0.25">
      <c r="A1247" s="10">
        <v>1878</v>
      </c>
      <c r="B1247" t="s">
        <v>1704</v>
      </c>
      <c r="C1247" s="2" t="s">
        <v>1851</v>
      </c>
      <c r="D1247" s="1" t="s">
        <v>1920</v>
      </c>
      <c r="E1247">
        <v>6590</v>
      </c>
      <c r="F1247">
        <v>6650</v>
      </c>
      <c r="G1247">
        <v>6900</v>
      </c>
      <c r="H1247">
        <v>10630</v>
      </c>
    </row>
    <row r="1248" spans="1:8" x14ac:dyDescent="0.25">
      <c r="A1248" s="10">
        <v>1879</v>
      </c>
      <c r="B1248" t="s">
        <v>1705</v>
      </c>
      <c r="C1248" s="2" t="s">
        <v>1852</v>
      </c>
      <c r="D1248" s="1" t="s">
        <v>1920</v>
      </c>
      <c r="E1248">
        <v>6590</v>
      </c>
      <c r="F1248">
        <v>6650</v>
      </c>
      <c r="G1248">
        <v>6900</v>
      </c>
      <c r="H1248">
        <v>10630</v>
      </c>
    </row>
    <row r="1249" spans="1:8" x14ac:dyDescent="0.25">
      <c r="A1249" s="10">
        <v>1880</v>
      </c>
      <c r="B1249" t="s">
        <v>1706</v>
      </c>
      <c r="C1249" s="2" t="s">
        <v>1853</v>
      </c>
      <c r="D1249" s="1" t="s">
        <v>1920</v>
      </c>
      <c r="E1249">
        <v>6590</v>
      </c>
      <c r="F1249">
        <v>6650</v>
      </c>
      <c r="G1249">
        <v>6900</v>
      </c>
      <c r="H1249">
        <v>10630</v>
      </c>
    </row>
    <row r="1250" spans="1:8" x14ac:dyDescent="0.25">
      <c r="A1250" s="10">
        <v>1881</v>
      </c>
      <c r="B1250" t="s">
        <v>1707</v>
      </c>
      <c r="C1250" s="2" t="s">
        <v>1854</v>
      </c>
      <c r="D1250" s="1" t="s">
        <v>1920</v>
      </c>
      <c r="E1250">
        <v>6590</v>
      </c>
      <c r="F1250">
        <v>6650</v>
      </c>
      <c r="G1250">
        <v>6900</v>
      </c>
      <c r="H1250">
        <v>10630</v>
      </c>
    </row>
    <row r="1251" spans="1:8" x14ac:dyDescent="0.25">
      <c r="A1251" s="10">
        <v>1882</v>
      </c>
      <c r="B1251" t="s">
        <v>1708</v>
      </c>
      <c r="C1251" s="2" t="s">
        <v>1855</v>
      </c>
      <c r="D1251" s="1" t="s">
        <v>1920</v>
      </c>
      <c r="E1251">
        <v>6590</v>
      </c>
      <c r="F1251">
        <v>6650</v>
      </c>
      <c r="G1251">
        <v>6900</v>
      </c>
      <c r="H1251">
        <v>10630</v>
      </c>
    </row>
    <row r="1252" spans="1:8" x14ac:dyDescent="0.25">
      <c r="A1252" s="10">
        <v>1883</v>
      </c>
      <c r="B1252" t="s">
        <v>1709</v>
      </c>
      <c r="C1252" s="2" t="s">
        <v>1856</v>
      </c>
      <c r="D1252" s="1" t="s">
        <v>1920</v>
      </c>
      <c r="E1252">
        <v>6590</v>
      </c>
      <c r="F1252">
        <v>6650</v>
      </c>
      <c r="G1252">
        <v>6900</v>
      </c>
      <c r="H1252">
        <v>10630</v>
      </c>
    </row>
    <row r="1253" spans="1:8" x14ac:dyDescent="0.25">
      <c r="A1253" s="10">
        <v>1884</v>
      </c>
      <c r="B1253" t="s">
        <v>1710</v>
      </c>
      <c r="C1253" s="2" t="s">
        <v>1857</v>
      </c>
      <c r="D1253" s="1" t="s">
        <v>1920</v>
      </c>
      <c r="E1253">
        <v>6590</v>
      </c>
      <c r="F1253">
        <v>6650</v>
      </c>
      <c r="G1253">
        <v>6900</v>
      </c>
      <c r="H1253">
        <v>10630</v>
      </c>
    </row>
    <row r="1254" spans="1:8" x14ac:dyDescent="0.25">
      <c r="A1254" s="10">
        <v>1885</v>
      </c>
      <c r="B1254" t="s">
        <v>1711</v>
      </c>
      <c r="C1254" s="2" t="s">
        <v>1858</v>
      </c>
      <c r="D1254" s="1" t="s">
        <v>1920</v>
      </c>
      <c r="E1254">
        <v>6590</v>
      </c>
      <c r="F1254">
        <v>6650</v>
      </c>
      <c r="G1254">
        <v>6900</v>
      </c>
      <c r="H1254">
        <v>10630</v>
      </c>
    </row>
    <row r="1255" spans="1:8" x14ac:dyDescent="0.25">
      <c r="A1255" s="10">
        <v>1886</v>
      </c>
      <c r="B1255" t="s">
        <v>1712</v>
      </c>
      <c r="C1255" s="2" t="s">
        <v>1859</v>
      </c>
      <c r="D1255" s="1" t="s">
        <v>1920</v>
      </c>
      <c r="E1255">
        <v>6590</v>
      </c>
      <c r="F1255">
        <v>6650</v>
      </c>
      <c r="G1255">
        <v>6900</v>
      </c>
      <c r="H1255">
        <v>10630</v>
      </c>
    </row>
    <row r="1256" spans="1:8" x14ac:dyDescent="0.25">
      <c r="A1256" s="10">
        <v>1887</v>
      </c>
      <c r="B1256" t="s">
        <v>1713</v>
      </c>
      <c r="C1256" s="2" t="s">
        <v>1860</v>
      </c>
      <c r="D1256" s="1" t="s">
        <v>1920</v>
      </c>
      <c r="E1256">
        <v>6590</v>
      </c>
      <c r="F1256">
        <v>6650</v>
      </c>
      <c r="G1256">
        <v>6900</v>
      </c>
      <c r="H1256">
        <v>10630</v>
      </c>
    </row>
    <row r="1257" spans="1:8" x14ac:dyDescent="0.25">
      <c r="A1257" s="10">
        <v>1888</v>
      </c>
      <c r="B1257" t="s">
        <v>1714</v>
      </c>
      <c r="C1257" s="2" t="s">
        <v>1861</v>
      </c>
      <c r="D1257" s="1" t="s">
        <v>1920</v>
      </c>
      <c r="E1257">
        <v>6590</v>
      </c>
      <c r="F1257">
        <v>6650</v>
      </c>
      <c r="G1257">
        <v>6900</v>
      </c>
      <c r="H1257">
        <v>10630</v>
      </c>
    </row>
    <row r="1258" spans="1:8" x14ac:dyDescent="0.25">
      <c r="A1258" s="10">
        <v>1889</v>
      </c>
      <c r="B1258" t="s">
        <v>1715</v>
      </c>
      <c r="C1258" s="2" t="s">
        <v>1862</v>
      </c>
      <c r="D1258" s="1" t="s">
        <v>1920</v>
      </c>
      <c r="E1258">
        <v>6590</v>
      </c>
      <c r="F1258">
        <v>6650</v>
      </c>
      <c r="G1258">
        <v>6900</v>
      </c>
      <c r="H1258">
        <v>10630</v>
      </c>
    </row>
    <row r="1259" spans="1:8" x14ac:dyDescent="0.25">
      <c r="A1259" s="10">
        <v>1890</v>
      </c>
      <c r="B1259" t="s">
        <v>1716</v>
      </c>
      <c r="C1259" s="2" t="s">
        <v>1863</v>
      </c>
      <c r="D1259" s="1" t="s">
        <v>1920</v>
      </c>
      <c r="E1259">
        <v>6590</v>
      </c>
      <c r="F1259">
        <v>6650</v>
      </c>
      <c r="G1259">
        <v>6900</v>
      </c>
      <c r="H1259">
        <v>10630</v>
      </c>
    </row>
    <row r="1260" spans="1:8" x14ac:dyDescent="0.25">
      <c r="A1260" s="10">
        <v>1891</v>
      </c>
      <c r="B1260" t="s">
        <v>1717</v>
      </c>
      <c r="C1260" s="2" t="s">
        <v>1864</v>
      </c>
      <c r="D1260" s="1" t="s">
        <v>1920</v>
      </c>
      <c r="E1260">
        <v>6590</v>
      </c>
      <c r="F1260">
        <v>6650</v>
      </c>
      <c r="G1260">
        <v>6900</v>
      </c>
      <c r="H1260">
        <v>10630</v>
      </c>
    </row>
    <row r="1261" spans="1:8" x14ac:dyDescent="0.25">
      <c r="A1261" s="10">
        <v>1892</v>
      </c>
      <c r="B1261" t="s">
        <v>1718</v>
      </c>
      <c r="C1261" s="2" t="s">
        <v>1865</v>
      </c>
      <c r="D1261" s="1" t="s">
        <v>1920</v>
      </c>
      <c r="E1261">
        <v>6590</v>
      </c>
      <c r="F1261">
        <v>6650</v>
      </c>
      <c r="G1261">
        <v>6900</v>
      </c>
      <c r="H1261">
        <v>10630</v>
      </c>
    </row>
    <row r="1262" spans="1:8" x14ac:dyDescent="0.25">
      <c r="A1262" s="10">
        <v>1893</v>
      </c>
      <c r="B1262" t="s">
        <v>1719</v>
      </c>
      <c r="C1262" s="2" t="s">
        <v>1866</v>
      </c>
      <c r="D1262" s="1" t="s">
        <v>1920</v>
      </c>
      <c r="E1262">
        <v>6590</v>
      </c>
      <c r="F1262">
        <v>6650</v>
      </c>
      <c r="G1262">
        <v>6900</v>
      </c>
      <c r="H1262">
        <v>10630</v>
      </c>
    </row>
    <row r="1263" spans="1:8" x14ac:dyDescent="0.25">
      <c r="A1263" s="10">
        <v>1894</v>
      </c>
      <c r="B1263" t="s">
        <v>1720</v>
      </c>
      <c r="C1263" s="2" t="s">
        <v>1867</v>
      </c>
      <c r="D1263" s="1" t="s">
        <v>1920</v>
      </c>
      <c r="E1263">
        <v>6590</v>
      </c>
      <c r="F1263">
        <v>6650</v>
      </c>
      <c r="G1263">
        <v>6900</v>
      </c>
      <c r="H1263">
        <v>10630</v>
      </c>
    </row>
    <row r="1264" spans="1:8" x14ac:dyDescent="0.25">
      <c r="A1264" s="10">
        <v>1895</v>
      </c>
      <c r="B1264" t="s">
        <v>1721</v>
      </c>
      <c r="C1264" s="2" t="s">
        <v>1868</v>
      </c>
      <c r="D1264" s="1" t="s">
        <v>1920</v>
      </c>
      <c r="E1264">
        <v>6590</v>
      </c>
      <c r="F1264">
        <v>6650</v>
      </c>
      <c r="G1264">
        <v>6900</v>
      </c>
      <c r="H1264">
        <v>10630</v>
      </c>
    </row>
    <row r="1265" spans="1:8" x14ac:dyDescent="0.25">
      <c r="C1265" s="5"/>
    </row>
    <row r="1266" spans="1:8" x14ac:dyDescent="0.25">
      <c r="A1266" s="10">
        <v>1896</v>
      </c>
      <c r="B1266" t="s">
        <v>1673</v>
      </c>
      <c r="C1266" s="2" t="s">
        <v>1869</v>
      </c>
      <c r="D1266" s="1" t="s">
        <v>1921</v>
      </c>
      <c r="E1266">
        <v>484</v>
      </c>
      <c r="F1266">
        <v>500</v>
      </c>
      <c r="G1266">
        <v>600</v>
      </c>
      <c r="H1266">
        <v>780</v>
      </c>
    </row>
    <row r="1267" spans="1:8" x14ac:dyDescent="0.25">
      <c r="A1267" s="10">
        <v>1897</v>
      </c>
      <c r="B1267" t="s">
        <v>1674</v>
      </c>
      <c r="C1267" s="2" t="s">
        <v>1870</v>
      </c>
      <c r="D1267" s="1" t="s">
        <v>1921</v>
      </c>
      <c r="E1267">
        <v>484</v>
      </c>
      <c r="F1267">
        <v>500</v>
      </c>
      <c r="G1267">
        <v>600</v>
      </c>
      <c r="H1267">
        <v>780</v>
      </c>
    </row>
    <row r="1268" spans="1:8" x14ac:dyDescent="0.25">
      <c r="A1268" s="10">
        <v>1898</v>
      </c>
      <c r="B1268" t="s">
        <v>1675</v>
      </c>
      <c r="C1268" s="2" t="s">
        <v>1871</v>
      </c>
      <c r="D1268" s="1" t="s">
        <v>1921</v>
      </c>
      <c r="E1268">
        <v>484</v>
      </c>
      <c r="F1268">
        <v>500</v>
      </c>
      <c r="G1268">
        <v>600</v>
      </c>
      <c r="H1268">
        <v>780</v>
      </c>
    </row>
    <row r="1269" spans="1:8" x14ac:dyDescent="0.25">
      <c r="A1269" s="10">
        <v>1899</v>
      </c>
      <c r="B1269" t="s">
        <v>1676</v>
      </c>
      <c r="C1269" s="2" t="s">
        <v>1872</v>
      </c>
      <c r="D1269" s="1" t="s">
        <v>1921</v>
      </c>
      <c r="E1269">
        <v>484</v>
      </c>
      <c r="F1269">
        <v>500</v>
      </c>
      <c r="G1269">
        <v>600</v>
      </c>
      <c r="H1269">
        <v>780</v>
      </c>
    </row>
    <row r="1270" spans="1:8" x14ac:dyDescent="0.25">
      <c r="A1270" s="10">
        <v>1900</v>
      </c>
      <c r="B1270" t="s">
        <v>1677</v>
      </c>
      <c r="C1270" s="2" t="s">
        <v>1873</v>
      </c>
      <c r="D1270" s="1" t="s">
        <v>1921</v>
      </c>
      <c r="E1270">
        <v>484</v>
      </c>
      <c r="F1270">
        <v>500</v>
      </c>
      <c r="G1270">
        <v>600</v>
      </c>
      <c r="H1270">
        <v>780</v>
      </c>
    </row>
    <row r="1271" spans="1:8" x14ac:dyDescent="0.25">
      <c r="A1271" s="10">
        <v>1901</v>
      </c>
      <c r="B1271" t="s">
        <v>1678</v>
      </c>
      <c r="C1271" s="2" t="s">
        <v>1874</v>
      </c>
      <c r="D1271" s="1" t="s">
        <v>1921</v>
      </c>
      <c r="E1271">
        <v>484</v>
      </c>
      <c r="F1271">
        <v>500</v>
      </c>
      <c r="G1271">
        <v>600</v>
      </c>
      <c r="H1271">
        <v>780</v>
      </c>
    </row>
    <row r="1272" spans="1:8" x14ac:dyDescent="0.25">
      <c r="A1272" s="10">
        <v>1902</v>
      </c>
      <c r="B1272" t="s">
        <v>1679</v>
      </c>
      <c r="C1272" s="2" t="s">
        <v>1875</v>
      </c>
      <c r="D1272" s="1" t="s">
        <v>1921</v>
      </c>
      <c r="E1272">
        <v>484</v>
      </c>
      <c r="F1272">
        <v>500</v>
      </c>
      <c r="G1272">
        <v>600</v>
      </c>
      <c r="H1272">
        <v>780</v>
      </c>
    </row>
    <row r="1273" spans="1:8" x14ac:dyDescent="0.25">
      <c r="A1273" s="10">
        <v>1903</v>
      </c>
      <c r="B1273" t="s">
        <v>1680</v>
      </c>
      <c r="C1273" s="2" t="s">
        <v>1876</v>
      </c>
      <c r="D1273" s="1" t="s">
        <v>1921</v>
      </c>
      <c r="E1273">
        <v>484</v>
      </c>
      <c r="F1273">
        <v>500</v>
      </c>
      <c r="G1273">
        <v>600</v>
      </c>
      <c r="H1273">
        <v>780</v>
      </c>
    </row>
    <row r="1274" spans="1:8" x14ac:dyDescent="0.25">
      <c r="A1274" s="10">
        <v>1904</v>
      </c>
      <c r="B1274" t="s">
        <v>1681</v>
      </c>
      <c r="C1274" s="2" t="s">
        <v>1877</v>
      </c>
      <c r="D1274" s="1" t="s">
        <v>1921</v>
      </c>
      <c r="E1274">
        <v>484</v>
      </c>
      <c r="F1274">
        <v>500</v>
      </c>
      <c r="G1274">
        <v>600</v>
      </c>
      <c r="H1274">
        <v>780</v>
      </c>
    </row>
    <row r="1275" spans="1:8" x14ac:dyDescent="0.25">
      <c r="A1275" s="10">
        <v>1905</v>
      </c>
      <c r="B1275" t="s">
        <v>1682</v>
      </c>
      <c r="C1275" s="2" t="s">
        <v>1878</v>
      </c>
      <c r="D1275" s="1" t="s">
        <v>1921</v>
      </c>
      <c r="E1275">
        <v>484</v>
      </c>
      <c r="F1275">
        <v>500</v>
      </c>
      <c r="G1275">
        <v>600</v>
      </c>
      <c r="H1275">
        <v>780</v>
      </c>
    </row>
    <row r="1276" spans="1:8" x14ac:dyDescent="0.25">
      <c r="A1276" s="10">
        <v>1906</v>
      </c>
      <c r="B1276" t="s">
        <v>1683</v>
      </c>
      <c r="C1276" s="2" t="s">
        <v>1879</v>
      </c>
      <c r="D1276" s="1" t="s">
        <v>1921</v>
      </c>
      <c r="E1276">
        <v>484</v>
      </c>
      <c r="F1276">
        <v>500</v>
      </c>
      <c r="G1276">
        <v>600</v>
      </c>
      <c r="H1276">
        <v>780</v>
      </c>
    </row>
    <row r="1277" spans="1:8" x14ac:dyDescent="0.25">
      <c r="A1277" s="10">
        <v>1907</v>
      </c>
      <c r="B1277" t="s">
        <v>1684</v>
      </c>
      <c r="C1277" s="2" t="s">
        <v>1880</v>
      </c>
      <c r="D1277" s="1" t="s">
        <v>1921</v>
      </c>
      <c r="E1277">
        <v>484</v>
      </c>
      <c r="F1277">
        <v>500</v>
      </c>
      <c r="G1277">
        <v>600</v>
      </c>
      <c r="H1277">
        <v>780</v>
      </c>
    </row>
    <row r="1278" spans="1:8" x14ac:dyDescent="0.25">
      <c r="A1278" s="10">
        <v>1908</v>
      </c>
      <c r="B1278" t="s">
        <v>1685</v>
      </c>
      <c r="C1278" s="2" t="s">
        <v>1881</v>
      </c>
      <c r="D1278" s="1" t="s">
        <v>1921</v>
      </c>
      <c r="E1278">
        <v>484</v>
      </c>
      <c r="F1278">
        <v>500</v>
      </c>
      <c r="G1278">
        <v>600</v>
      </c>
      <c r="H1278">
        <v>780</v>
      </c>
    </row>
    <row r="1279" spans="1:8" x14ac:dyDescent="0.25">
      <c r="A1279" s="10">
        <v>1909</v>
      </c>
      <c r="B1279" t="s">
        <v>1686</v>
      </c>
      <c r="C1279" s="2" t="s">
        <v>1882</v>
      </c>
      <c r="D1279" s="1" t="s">
        <v>1921</v>
      </c>
      <c r="E1279">
        <v>484</v>
      </c>
      <c r="F1279">
        <v>500</v>
      </c>
      <c r="G1279">
        <v>600</v>
      </c>
      <c r="H1279">
        <v>780</v>
      </c>
    </row>
    <row r="1280" spans="1:8" x14ac:dyDescent="0.25">
      <c r="A1280" s="10">
        <v>1910</v>
      </c>
      <c r="B1280" t="s">
        <v>1687</v>
      </c>
      <c r="C1280" s="2" t="s">
        <v>1883</v>
      </c>
      <c r="D1280" s="1" t="s">
        <v>1921</v>
      </c>
      <c r="E1280">
        <v>484</v>
      </c>
      <c r="F1280">
        <v>500</v>
      </c>
      <c r="G1280">
        <v>600</v>
      </c>
      <c r="H1280">
        <v>780</v>
      </c>
    </row>
    <row r="1281" spans="1:8" x14ac:dyDescent="0.25">
      <c r="A1281" s="10">
        <v>1911</v>
      </c>
      <c r="B1281" t="s">
        <v>1688</v>
      </c>
      <c r="C1281" s="2" t="s">
        <v>1884</v>
      </c>
      <c r="D1281" s="1" t="s">
        <v>1921</v>
      </c>
      <c r="E1281">
        <v>484</v>
      </c>
      <c r="F1281">
        <v>500</v>
      </c>
      <c r="G1281">
        <v>600</v>
      </c>
      <c r="H1281">
        <v>780</v>
      </c>
    </row>
    <row r="1282" spans="1:8" x14ac:dyDescent="0.25">
      <c r="A1282" s="10">
        <v>1912</v>
      </c>
      <c r="B1282" t="s">
        <v>1689</v>
      </c>
      <c r="C1282" s="2" t="s">
        <v>1885</v>
      </c>
      <c r="D1282" s="1" t="s">
        <v>1921</v>
      </c>
      <c r="E1282">
        <v>484</v>
      </c>
      <c r="F1282">
        <v>500</v>
      </c>
      <c r="G1282">
        <v>600</v>
      </c>
      <c r="H1282">
        <v>780</v>
      </c>
    </row>
    <row r="1283" spans="1:8" x14ac:dyDescent="0.25">
      <c r="A1283" s="10">
        <v>1913</v>
      </c>
      <c r="B1283" t="s">
        <v>1690</v>
      </c>
      <c r="C1283" s="2" t="s">
        <v>1886</v>
      </c>
      <c r="D1283" s="1" t="s">
        <v>1921</v>
      </c>
      <c r="E1283">
        <v>484</v>
      </c>
      <c r="F1283">
        <v>500</v>
      </c>
      <c r="G1283">
        <v>600</v>
      </c>
      <c r="H1283">
        <v>780</v>
      </c>
    </row>
    <row r="1284" spans="1:8" x14ac:dyDescent="0.25">
      <c r="A1284" s="10">
        <v>1914</v>
      </c>
      <c r="B1284" t="s">
        <v>1691</v>
      </c>
      <c r="C1284" s="2" t="s">
        <v>1887</v>
      </c>
      <c r="D1284" s="1" t="s">
        <v>1921</v>
      </c>
      <c r="E1284">
        <v>484</v>
      </c>
      <c r="F1284">
        <v>500</v>
      </c>
      <c r="G1284">
        <v>600</v>
      </c>
      <c r="H1284">
        <v>780</v>
      </c>
    </row>
    <row r="1285" spans="1:8" x14ac:dyDescent="0.25">
      <c r="A1285" s="10">
        <v>1915</v>
      </c>
      <c r="B1285" t="s">
        <v>1692</v>
      </c>
      <c r="C1285" s="2" t="s">
        <v>1888</v>
      </c>
      <c r="D1285" s="1" t="s">
        <v>1921</v>
      </c>
      <c r="E1285">
        <v>484</v>
      </c>
      <c r="F1285">
        <v>500</v>
      </c>
      <c r="G1285">
        <v>600</v>
      </c>
      <c r="H1285">
        <v>780</v>
      </c>
    </row>
    <row r="1286" spans="1:8" x14ac:dyDescent="0.25">
      <c r="A1286" s="10">
        <v>1916</v>
      </c>
      <c r="B1286" t="s">
        <v>1693</v>
      </c>
      <c r="C1286" s="2" t="s">
        <v>1889</v>
      </c>
      <c r="D1286" s="1" t="s">
        <v>1921</v>
      </c>
      <c r="E1286">
        <v>484</v>
      </c>
      <c r="F1286">
        <v>500</v>
      </c>
      <c r="G1286">
        <v>600</v>
      </c>
      <c r="H1286">
        <v>780</v>
      </c>
    </row>
    <row r="1287" spans="1:8" x14ac:dyDescent="0.25">
      <c r="A1287" s="10">
        <v>1917</v>
      </c>
      <c r="B1287" t="s">
        <v>1694</v>
      </c>
      <c r="C1287" s="2" t="s">
        <v>1890</v>
      </c>
      <c r="D1287" s="1" t="s">
        <v>1921</v>
      </c>
      <c r="E1287">
        <v>484</v>
      </c>
      <c r="F1287">
        <v>500</v>
      </c>
      <c r="G1287">
        <v>600</v>
      </c>
      <c r="H1287">
        <v>780</v>
      </c>
    </row>
    <row r="1288" spans="1:8" x14ac:dyDescent="0.25">
      <c r="A1288" s="10">
        <v>1918</v>
      </c>
      <c r="B1288" t="s">
        <v>1695</v>
      </c>
      <c r="C1288" s="2" t="s">
        <v>1891</v>
      </c>
      <c r="D1288" s="1" t="s">
        <v>1921</v>
      </c>
      <c r="E1288">
        <v>484</v>
      </c>
      <c r="F1288">
        <v>500</v>
      </c>
      <c r="G1288">
        <v>600</v>
      </c>
      <c r="H1288">
        <v>780</v>
      </c>
    </row>
    <row r="1289" spans="1:8" x14ac:dyDescent="0.25">
      <c r="A1289" s="10">
        <v>1919</v>
      </c>
      <c r="B1289" t="s">
        <v>1696</v>
      </c>
      <c r="C1289" s="2" t="s">
        <v>1892</v>
      </c>
      <c r="D1289" s="1" t="s">
        <v>1921</v>
      </c>
      <c r="E1289">
        <v>484</v>
      </c>
      <c r="F1289">
        <v>500</v>
      </c>
      <c r="G1289">
        <v>600</v>
      </c>
      <c r="H1289">
        <v>780</v>
      </c>
    </row>
    <row r="1290" spans="1:8" x14ac:dyDescent="0.25">
      <c r="A1290" s="10">
        <v>1920</v>
      </c>
      <c r="B1290" t="s">
        <v>1697</v>
      </c>
      <c r="C1290" s="2" t="s">
        <v>1893</v>
      </c>
      <c r="D1290" s="1" t="s">
        <v>1921</v>
      </c>
      <c r="E1290">
        <v>484</v>
      </c>
      <c r="F1290">
        <v>500</v>
      </c>
      <c r="G1290">
        <v>600</v>
      </c>
      <c r="H1290">
        <v>780</v>
      </c>
    </row>
    <row r="1291" spans="1:8" x14ac:dyDescent="0.25">
      <c r="A1291" s="10">
        <v>1921</v>
      </c>
      <c r="B1291" t="s">
        <v>1698</v>
      </c>
      <c r="C1291" s="2" t="s">
        <v>1894</v>
      </c>
      <c r="D1291" s="1" t="s">
        <v>1921</v>
      </c>
      <c r="E1291">
        <v>484</v>
      </c>
      <c r="F1291">
        <v>500</v>
      </c>
      <c r="G1291">
        <v>600</v>
      </c>
      <c r="H1291">
        <v>780</v>
      </c>
    </row>
    <row r="1292" spans="1:8" x14ac:dyDescent="0.25">
      <c r="A1292" s="10">
        <v>1922</v>
      </c>
      <c r="B1292" t="s">
        <v>1699</v>
      </c>
      <c r="C1292" s="2" t="s">
        <v>1895</v>
      </c>
      <c r="D1292" s="1" t="s">
        <v>1921</v>
      </c>
      <c r="E1292">
        <v>484</v>
      </c>
      <c r="F1292">
        <v>500</v>
      </c>
      <c r="G1292">
        <v>600</v>
      </c>
      <c r="H1292">
        <v>780</v>
      </c>
    </row>
    <row r="1293" spans="1:8" x14ac:dyDescent="0.25">
      <c r="A1293" s="10">
        <v>1923</v>
      </c>
      <c r="B1293" t="s">
        <v>1700</v>
      </c>
      <c r="C1293" s="2" t="s">
        <v>1896</v>
      </c>
      <c r="D1293" s="1" t="s">
        <v>1921</v>
      </c>
      <c r="E1293">
        <v>484</v>
      </c>
      <c r="F1293">
        <v>500</v>
      </c>
      <c r="G1293">
        <v>600</v>
      </c>
      <c r="H1293">
        <v>780</v>
      </c>
    </row>
    <row r="1294" spans="1:8" x14ac:dyDescent="0.25">
      <c r="A1294" s="10">
        <v>1924</v>
      </c>
      <c r="B1294" t="s">
        <v>1701</v>
      </c>
      <c r="C1294" s="2" t="s">
        <v>1897</v>
      </c>
      <c r="D1294" s="1" t="s">
        <v>1921</v>
      </c>
      <c r="E1294">
        <v>484</v>
      </c>
      <c r="F1294">
        <v>500</v>
      </c>
      <c r="G1294">
        <v>600</v>
      </c>
      <c r="H1294">
        <v>780</v>
      </c>
    </row>
    <row r="1295" spans="1:8" x14ac:dyDescent="0.25">
      <c r="A1295" s="10">
        <v>1925</v>
      </c>
      <c r="B1295" t="s">
        <v>1702</v>
      </c>
      <c r="C1295" s="2" t="s">
        <v>1898</v>
      </c>
      <c r="D1295" s="1" t="s">
        <v>1921</v>
      </c>
      <c r="E1295">
        <v>484</v>
      </c>
      <c r="F1295">
        <v>500</v>
      </c>
      <c r="G1295">
        <v>600</v>
      </c>
      <c r="H1295">
        <v>780</v>
      </c>
    </row>
    <row r="1296" spans="1:8" x14ac:dyDescent="0.25">
      <c r="A1296" s="10">
        <v>1926</v>
      </c>
      <c r="B1296" t="s">
        <v>1703</v>
      </c>
      <c r="C1296" s="2" t="s">
        <v>1899</v>
      </c>
      <c r="D1296" s="1" t="s">
        <v>1921</v>
      </c>
      <c r="E1296">
        <v>484</v>
      </c>
      <c r="F1296">
        <v>500</v>
      </c>
      <c r="G1296">
        <v>600</v>
      </c>
      <c r="H1296">
        <v>780</v>
      </c>
    </row>
    <row r="1297" spans="1:8" x14ac:dyDescent="0.25">
      <c r="A1297" s="10">
        <v>1927</v>
      </c>
      <c r="B1297" t="s">
        <v>1704</v>
      </c>
      <c r="C1297" s="2" t="s">
        <v>1900</v>
      </c>
      <c r="D1297" s="1" t="s">
        <v>1921</v>
      </c>
      <c r="E1297">
        <v>484</v>
      </c>
      <c r="F1297">
        <v>500</v>
      </c>
      <c r="G1297">
        <v>600</v>
      </c>
      <c r="H1297">
        <v>780</v>
      </c>
    </row>
    <row r="1298" spans="1:8" x14ac:dyDescent="0.25">
      <c r="A1298" s="10">
        <v>1928</v>
      </c>
      <c r="B1298" t="s">
        <v>1705</v>
      </c>
      <c r="C1298" s="2" t="s">
        <v>1901</v>
      </c>
      <c r="D1298" s="1" t="s">
        <v>1921</v>
      </c>
      <c r="E1298">
        <v>484</v>
      </c>
      <c r="F1298">
        <v>500</v>
      </c>
      <c r="G1298">
        <v>600</v>
      </c>
      <c r="H1298">
        <v>780</v>
      </c>
    </row>
    <row r="1299" spans="1:8" x14ac:dyDescent="0.25">
      <c r="A1299" s="10">
        <v>1929</v>
      </c>
      <c r="B1299" t="s">
        <v>1706</v>
      </c>
      <c r="C1299" s="2" t="s">
        <v>1902</v>
      </c>
      <c r="D1299" s="1" t="s">
        <v>1921</v>
      </c>
      <c r="E1299">
        <v>484</v>
      </c>
      <c r="F1299">
        <v>500</v>
      </c>
      <c r="G1299">
        <v>600</v>
      </c>
      <c r="H1299">
        <v>780</v>
      </c>
    </row>
    <row r="1300" spans="1:8" x14ac:dyDescent="0.25">
      <c r="A1300" s="10">
        <v>1930</v>
      </c>
      <c r="B1300" t="s">
        <v>1707</v>
      </c>
      <c r="C1300" s="2" t="s">
        <v>1903</v>
      </c>
      <c r="D1300" s="1" t="s">
        <v>1921</v>
      </c>
      <c r="E1300">
        <v>484</v>
      </c>
      <c r="F1300">
        <v>500</v>
      </c>
      <c r="G1300">
        <v>600</v>
      </c>
      <c r="H1300">
        <v>780</v>
      </c>
    </row>
    <row r="1301" spans="1:8" x14ac:dyDescent="0.25">
      <c r="A1301" s="10">
        <v>1931</v>
      </c>
      <c r="B1301" t="s">
        <v>1708</v>
      </c>
      <c r="C1301" s="2" t="s">
        <v>1904</v>
      </c>
      <c r="D1301" s="1" t="s">
        <v>1921</v>
      </c>
      <c r="E1301">
        <v>484</v>
      </c>
      <c r="F1301">
        <v>500</v>
      </c>
      <c r="G1301">
        <v>600</v>
      </c>
      <c r="H1301">
        <v>780</v>
      </c>
    </row>
    <row r="1302" spans="1:8" x14ac:dyDescent="0.25">
      <c r="A1302" s="10">
        <v>1932</v>
      </c>
      <c r="B1302" t="s">
        <v>1709</v>
      </c>
      <c r="C1302" s="2" t="s">
        <v>1905</v>
      </c>
      <c r="D1302" s="1" t="s">
        <v>1921</v>
      </c>
      <c r="E1302">
        <v>484</v>
      </c>
      <c r="F1302">
        <v>500</v>
      </c>
      <c r="G1302">
        <v>600</v>
      </c>
      <c r="H1302">
        <v>780</v>
      </c>
    </row>
    <row r="1303" spans="1:8" x14ac:dyDescent="0.25">
      <c r="A1303" s="10">
        <v>1933</v>
      </c>
      <c r="B1303" t="s">
        <v>1710</v>
      </c>
      <c r="C1303" s="2" t="s">
        <v>1906</v>
      </c>
      <c r="D1303" s="1" t="s">
        <v>1921</v>
      </c>
      <c r="E1303">
        <v>484</v>
      </c>
      <c r="F1303">
        <v>500</v>
      </c>
      <c r="G1303">
        <v>600</v>
      </c>
      <c r="H1303">
        <v>780</v>
      </c>
    </row>
    <row r="1304" spans="1:8" x14ac:dyDescent="0.25">
      <c r="A1304" s="10">
        <v>1934</v>
      </c>
      <c r="B1304" t="s">
        <v>1711</v>
      </c>
      <c r="C1304" s="2" t="s">
        <v>1907</v>
      </c>
      <c r="D1304" s="1" t="s">
        <v>1921</v>
      </c>
      <c r="E1304">
        <v>484</v>
      </c>
      <c r="F1304">
        <v>500</v>
      </c>
      <c r="G1304">
        <v>600</v>
      </c>
      <c r="H1304">
        <v>780</v>
      </c>
    </row>
    <row r="1305" spans="1:8" x14ac:dyDescent="0.25">
      <c r="A1305" s="10">
        <v>1935</v>
      </c>
      <c r="B1305" t="s">
        <v>1712</v>
      </c>
      <c r="C1305" s="2" t="s">
        <v>1908</v>
      </c>
      <c r="D1305" s="1" t="s">
        <v>1921</v>
      </c>
      <c r="E1305">
        <v>484</v>
      </c>
      <c r="F1305">
        <v>500</v>
      </c>
      <c r="G1305">
        <v>600</v>
      </c>
      <c r="H1305">
        <v>780</v>
      </c>
    </row>
    <row r="1306" spans="1:8" x14ac:dyDescent="0.25">
      <c r="A1306" s="10">
        <v>1936</v>
      </c>
      <c r="B1306" t="s">
        <v>1713</v>
      </c>
      <c r="C1306" s="2" t="s">
        <v>1909</v>
      </c>
      <c r="D1306" s="1" t="s">
        <v>1921</v>
      </c>
      <c r="E1306">
        <v>484</v>
      </c>
      <c r="F1306">
        <v>500</v>
      </c>
      <c r="G1306">
        <v>600</v>
      </c>
      <c r="H1306">
        <v>780</v>
      </c>
    </row>
    <row r="1307" spans="1:8" x14ac:dyDescent="0.25">
      <c r="A1307" s="10">
        <v>1937</v>
      </c>
      <c r="B1307" t="s">
        <v>1714</v>
      </c>
      <c r="C1307" s="2" t="s">
        <v>1910</v>
      </c>
      <c r="D1307" s="1" t="s">
        <v>1921</v>
      </c>
      <c r="E1307">
        <v>484</v>
      </c>
      <c r="F1307">
        <v>500</v>
      </c>
      <c r="G1307">
        <v>600</v>
      </c>
      <c r="H1307">
        <v>780</v>
      </c>
    </row>
    <row r="1308" spans="1:8" x14ac:dyDescent="0.25">
      <c r="A1308" s="10">
        <v>1938</v>
      </c>
      <c r="B1308" t="s">
        <v>1715</v>
      </c>
      <c r="C1308" s="2" t="s">
        <v>1911</v>
      </c>
      <c r="D1308" s="1" t="s">
        <v>1921</v>
      </c>
      <c r="E1308">
        <v>484</v>
      </c>
      <c r="F1308">
        <v>500</v>
      </c>
      <c r="G1308">
        <v>600</v>
      </c>
      <c r="H1308">
        <v>780</v>
      </c>
    </row>
    <row r="1309" spans="1:8" x14ac:dyDescent="0.25">
      <c r="A1309" s="10">
        <v>1939</v>
      </c>
      <c r="B1309" t="s">
        <v>1716</v>
      </c>
      <c r="C1309" s="2" t="s">
        <v>1912</v>
      </c>
      <c r="D1309" s="1" t="s">
        <v>1921</v>
      </c>
      <c r="E1309">
        <v>484</v>
      </c>
      <c r="F1309">
        <v>500</v>
      </c>
      <c r="G1309">
        <v>600</v>
      </c>
      <c r="H1309">
        <v>780</v>
      </c>
    </row>
    <row r="1310" spans="1:8" x14ac:dyDescent="0.25">
      <c r="A1310" s="10">
        <v>1940</v>
      </c>
      <c r="B1310" t="s">
        <v>1717</v>
      </c>
      <c r="C1310" s="2" t="s">
        <v>1913</v>
      </c>
      <c r="D1310" s="1" t="s">
        <v>1921</v>
      </c>
      <c r="E1310">
        <v>484</v>
      </c>
      <c r="F1310">
        <v>500</v>
      </c>
      <c r="G1310">
        <v>600</v>
      </c>
      <c r="H1310">
        <v>780</v>
      </c>
    </row>
    <row r="1311" spans="1:8" x14ac:dyDescent="0.25">
      <c r="A1311" s="10">
        <v>1941</v>
      </c>
      <c r="B1311" t="s">
        <v>1718</v>
      </c>
      <c r="C1311" s="2" t="s">
        <v>1914</v>
      </c>
      <c r="D1311" s="1" t="s">
        <v>1921</v>
      </c>
      <c r="E1311">
        <v>484</v>
      </c>
      <c r="F1311">
        <v>500</v>
      </c>
      <c r="G1311">
        <v>600</v>
      </c>
      <c r="H1311">
        <v>780</v>
      </c>
    </row>
    <row r="1312" spans="1:8" x14ac:dyDescent="0.25">
      <c r="A1312" s="10">
        <v>1942</v>
      </c>
      <c r="B1312" t="s">
        <v>1719</v>
      </c>
      <c r="C1312" s="2" t="s">
        <v>1915</v>
      </c>
      <c r="D1312" s="1" t="s">
        <v>1921</v>
      </c>
      <c r="E1312">
        <v>484</v>
      </c>
      <c r="F1312">
        <v>500</v>
      </c>
      <c r="G1312">
        <v>600</v>
      </c>
      <c r="H1312">
        <v>780</v>
      </c>
    </row>
    <row r="1313" spans="1:8" x14ac:dyDescent="0.25">
      <c r="A1313" s="10">
        <v>1943</v>
      </c>
      <c r="B1313" t="s">
        <v>1720</v>
      </c>
      <c r="C1313" s="2" t="s">
        <v>1916</v>
      </c>
      <c r="D1313" s="1" t="s">
        <v>1921</v>
      </c>
      <c r="E1313">
        <v>484</v>
      </c>
      <c r="F1313">
        <v>500</v>
      </c>
      <c r="G1313">
        <v>600</v>
      </c>
      <c r="H1313">
        <v>780</v>
      </c>
    </row>
    <row r="1314" spans="1:8" x14ac:dyDescent="0.25">
      <c r="A1314" s="10">
        <v>1944</v>
      </c>
      <c r="B1314" t="s">
        <v>1721</v>
      </c>
      <c r="C1314" s="2" t="s">
        <v>1917</v>
      </c>
      <c r="D1314" s="1" t="s">
        <v>1921</v>
      </c>
      <c r="E1314">
        <v>484</v>
      </c>
      <c r="F1314">
        <v>500</v>
      </c>
      <c r="G1314">
        <v>600</v>
      </c>
      <c r="H1314">
        <v>780</v>
      </c>
    </row>
    <row r="1315" spans="1:8" x14ac:dyDescent="0.25">
      <c r="C1315" s="5"/>
    </row>
    <row r="1316" spans="1:8" x14ac:dyDescent="0.25">
      <c r="A1316" s="10">
        <v>1945</v>
      </c>
      <c r="B1316" t="s">
        <v>1964</v>
      </c>
      <c r="C1316" s="2" t="s">
        <v>1922</v>
      </c>
      <c r="D1316" s="1" t="s">
        <v>1978</v>
      </c>
      <c r="E1316">
        <v>1080</v>
      </c>
      <c r="F1316">
        <v>1100</v>
      </c>
      <c r="G1316">
        <v>1200</v>
      </c>
      <c r="H1316">
        <v>1800</v>
      </c>
    </row>
    <row r="1317" spans="1:8" x14ac:dyDescent="0.25">
      <c r="A1317" s="10">
        <v>1946</v>
      </c>
      <c r="B1317" t="s">
        <v>1965</v>
      </c>
      <c r="C1317" s="2" t="s">
        <v>1923</v>
      </c>
      <c r="D1317" s="1" t="s">
        <v>1978</v>
      </c>
      <c r="E1317">
        <v>1080</v>
      </c>
      <c r="F1317">
        <v>1100</v>
      </c>
      <c r="G1317">
        <v>1200</v>
      </c>
      <c r="H1317">
        <v>1800</v>
      </c>
    </row>
    <row r="1318" spans="1:8" x14ac:dyDescent="0.25">
      <c r="A1318" s="10">
        <v>1947</v>
      </c>
      <c r="B1318" t="s">
        <v>1966</v>
      </c>
      <c r="C1318" s="2" t="s">
        <v>1924</v>
      </c>
      <c r="D1318" s="1" t="s">
        <v>1978</v>
      </c>
      <c r="E1318">
        <v>1080</v>
      </c>
      <c r="F1318">
        <v>1100</v>
      </c>
      <c r="G1318">
        <v>1200</v>
      </c>
      <c r="H1318">
        <v>1800</v>
      </c>
    </row>
    <row r="1319" spans="1:8" x14ac:dyDescent="0.25">
      <c r="A1319" s="10">
        <v>1948</v>
      </c>
      <c r="B1319" t="s">
        <v>1967</v>
      </c>
      <c r="C1319" s="2" t="s">
        <v>1925</v>
      </c>
      <c r="D1319" s="1" t="s">
        <v>1978</v>
      </c>
      <c r="E1319">
        <v>1080</v>
      </c>
      <c r="F1319">
        <v>1100</v>
      </c>
      <c r="G1319">
        <v>1200</v>
      </c>
      <c r="H1319">
        <v>1800</v>
      </c>
    </row>
    <row r="1320" spans="1:8" x14ac:dyDescent="0.25">
      <c r="A1320" s="10">
        <v>1949</v>
      </c>
      <c r="B1320" t="s">
        <v>1968</v>
      </c>
      <c r="C1320" s="2" t="s">
        <v>1926</v>
      </c>
      <c r="D1320" s="1" t="s">
        <v>1978</v>
      </c>
      <c r="E1320">
        <v>1080</v>
      </c>
      <c r="F1320">
        <v>1100</v>
      </c>
      <c r="G1320">
        <v>1200</v>
      </c>
      <c r="H1320">
        <v>1800</v>
      </c>
    </row>
    <row r="1321" spans="1:8" x14ac:dyDescent="0.25">
      <c r="A1321" s="10">
        <v>1950</v>
      </c>
      <c r="B1321" t="s">
        <v>1969</v>
      </c>
      <c r="C1321" s="2" t="s">
        <v>1927</v>
      </c>
      <c r="D1321" s="1" t="s">
        <v>1978</v>
      </c>
      <c r="E1321">
        <v>1080</v>
      </c>
      <c r="F1321">
        <v>1100</v>
      </c>
      <c r="G1321">
        <v>1200</v>
      </c>
      <c r="H1321">
        <v>1800</v>
      </c>
    </row>
    <row r="1322" spans="1:8" x14ac:dyDescent="0.25">
      <c r="A1322" s="10">
        <v>1951</v>
      </c>
      <c r="B1322" t="s">
        <v>1970</v>
      </c>
      <c r="C1322" s="2" t="s">
        <v>1928</v>
      </c>
      <c r="D1322" s="1" t="s">
        <v>1978</v>
      </c>
      <c r="E1322">
        <v>1080</v>
      </c>
      <c r="F1322">
        <v>1100</v>
      </c>
      <c r="G1322">
        <v>1200</v>
      </c>
      <c r="H1322">
        <v>1800</v>
      </c>
    </row>
    <row r="1323" spans="1:8" x14ac:dyDescent="0.25">
      <c r="A1323" s="10">
        <v>1952</v>
      </c>
      <c r="B1323" t="s">
        <v>1971</v>
      </c>
      <c r="C1323" s="2" t="s">
        <v>1929</v>
      </c>
      <c r="D1323" s="1" t="s">
        <v>1978</v>
      </c>
      <c r="E1323">
        <v>1080</v>
      </c>
      <c r="F1323">
        <v>1100</v>
      </c>
      <c r="G1323">
        <v>1200</v>
      </c>
      <c r="H1323">
        <v>1800</v>
      </c>
    </row>
    <row r="1324" spans="1:8" x14ac:dyDescent="0.25">
      <c r="A1324" s="10">
        <v>1953</v>
      </c>
      <c r="B1324" t="s">
        <v>1972</v>
      </c>
      <c r="C1324" s="2" t="s">
        <v>1930</v>
      </c>
      <c r="D1324" s="1" t="s">
        <v>1978</v>
      </c>
      <c r="E1324">
        <v>1080</v>
      </c>
      <c r="F1324">
        <v>1100</v>
      </c>
      <c r="G1324">
        <v>1200</v>
      </c>
      <c r="H1324">
        <v>1800</v>
      </c>
    </row>
    <row r="1325" spans="1:8" x14ac:dyDescent="0.25">
      <c r="A1325" s="10">
        <v>1954</v>
      </c>
      <c r="B1325" t="s">
        <v>1973</v>
      </c>
      <c r="C1325" s="2" t="s">
        <v>1931</v>
      </c>
      <c r="D1325" s="1" t="s">
        <v>1978</v>
      </c>
      <c r="E1325">
        <v>1080</v>
      </c>
      <c r="F1325">
        <v>1100</v>
      </c>
      <c r="G1325">
        <v>1200</v>
      </c>
      <c r="H1325">
        <v>1800</v>
      </c>
    </row>
    <row r="1326" spans="1:8" x14ac:dyDescent="0.25">
      <c r="A1326" s="10">
        <v>1955</v>
      </c>
      <c r="B1326" t="s">
        <v>1974</v>
      </c>
      <c r="C1326" s="2" t="s">
        <v>1932</v>
      </c>
      <c r="D1326" s="1" t="s">
        <v>1978</v>
      </c>
      <c r="E1326">
        <v>1080</v>
      </c>
      <c r="F1326">
        <v>1100</v>
      </c>
      <c r="G1326">
        <v>1200</v>
      </c>
      <c r="H1326">
        <v>1800</v>
      </c>
    </row>
    <row r="1327" spans="1:8" x14ac:dyDescent="0.25">
      <c r="A1327" s="10">
        <v>1956</v>
      </c>
      <c r="B1327" t="s">
        <v>1975</v>
      </c>
      <c r="C1327" s="2" t="s">
        <v>1933</v>
      </c>
      <c r="D1327" s="1" t="s">
        <v>1978</v>
      </c>
      <c r="E1327">
        <v>1080</v>
      </c>
      <c r="F1327">
        <v>1100</v>
      </c>
      <c r="G1327">
        <v>1200</v>
      </c>
      <c r="H1327">
        <v>1800</v>
      </c>
    </row>
    <row r="1328" spans="1:8" x14ac:dyDescent="0.25">
      <c r="A1328" s="10">
        <v>1957</v>
      </c>
      <c r="B1328" t="s">
        <v>1976</v>
      </c>
      <c r="C1328" s="2" t="s">
        <v>1934</v>
      </c>
      <c r="D1328" s="1" t="s">
        <v>1978</v>
      </c>
      <c r="E1328">
        <v>1080</v>
      </c>
      <c r="F1328">
        <v>1100</v>
      </c>
      <c r="G1328">
        <v>1200</v>
      </c>
      <c r="H1328">
        <v>1800</v>
      </c>
    </row>
    <row r="1329" spans="1:8" x14ac:dyDescent="0.25">
      <c r="A1329" s="10">
        <v>1958</v>
      </c>
      <c r="B1329" t="s">
        <v>1977</v>
      </c>
      <c r="C1329" s="2" t="s">
        <v>1935</v>
      </c>
      <c r="D1329" s="1" t="s">
        <v>1978</v>
      </c>
      <c r="E1329">
        <v>1080</v>
      </c>
      <c r="F1329">
        <v>1100</v>
      </c>
      <c r="G1329">
        <v>1200</v>
      </c>
      <c r="H1329">
        <v>1800</v>
      </c>
    </row>
    <row r="1330" spans="1:8" x14ac:dyDescent="0.25">
      <c r="C1330" s="2"/>
    </row>
    <row r="1331" spans="1:8" x14ac:dyDescent="0.25">
      <c r="A1331" s="10">
        <v>1959</v>
      </c>
      <c r="B1331" t="s">
        <v>1964</v>
      </c>
      <c r="C1331" s="2" t="s">
        <v>1936</v>
      </c>
      <c r="D1331" s="1" t="s">
        <v>1979</v>
      </c>
      <c r="E1331">
        <v>3600</v>
      </c>
      <c r="F1331">
        <v>3650</v>
      </c>
      <c r="G1331">
        <v>3800</v>
      </c>
      <c r="H1331">
        <v>6300</v>
      </c>
    </row>
    <row r="1332" spans="1:8" x14ac:dyDescent="0.25">
      <c r="A1332" s="10">
        <v>1960</v>
      </c>
      <c r="B1332" t="s">
        <v>1965</v>
      </c>
      <c r="C1332" s="2" t="s">
        <v>1937</v>
      </c>
      <c r="D1332" s="1" t="s">
        <v>1979</v>
      </c>
      <c r="E1332">
        <v>3600</v>
      </c>
      <c r="F1332">
        <v>3650</v>
      </c>
      <c r="G1332">
        <v>3800</v>
      </c>
      <c r="H1332">
        <v>6300</v>
      </c>
    </row>
    <row r="1333" spans="1:8" x14ac:dyDescent="0.25">
      <c r="A1333" s="10">
        <v>1961</v>
      </c>
      <c r="B1333" t="s">
        <v>1966</v>
      </c>
      <c r="C1333" s="2" t="s">
        <v>1938</v>
      </c>
      <c r="D1333" s="1" t="s">
        <v>1979</v>
      </c>
      <c r="E1333">
        <v>3600</v>
      </c>
      <c r="F1333">
        <v>3650</v>
      </c>
      <c r="G1333">
        <v>3800</v>
      </c>
      <c r="H1333">
        <v>6300</v>
      </c>
    </row>
    <row r="1334" spans="1:8" x14ac:dyDescent="0.25">
      <c r="A1334" s="10">
        <v>1962</v>
      </c>
      <c r="B1334" t="s">
        <v>1967</v>
      </c>
      <c r="C1334" s="2" t="s">
        <v>1939</v>
      </c>
      <c r="D1334" s="1" t="s">
        <v>1979</v>
      </c>
      <c r="E1334">
        <v>3600</v>
      </c>
      <c r="F1334">
        <v>3650</v>
      </c>
      <c r="G1334">
        <v>3800</v>
      </c>
      <c r="H1334">
        <v>6300</v>
      </c>
    </row>
    <row r="1335" spans="1:8" x14ac:dyDescent="0.25">
      <c r="A1335" s="10">
        <v>1963</v>
      </c>
      <c r="B1335" t="s">
        <v>1968</v>
      </c>
      <c r="C1335" s="2" t="s">
        <v>1940</v>
      </c>
      <c r="D1335" s="1" t="s">
        <v>1979</v>
      </c>
      <c r="E1335">
        <v>3600</v>
      </c>
      <c r="F1335">
        <v>3650</v>
      </c>
      <c r="G1335">
        <v>3800</v>
      </c>
      <c r="H1335">
        <v>6300</v>
      </c>
    </row>
    <row r="1336" spans="1:8" x14ac:dyDescent="0.25">
      <c r="A1336" s="10">
        <v>1964</v>
      </c>
      <c r="B1336" t="s">
        <v>1969</v>
      </c>
      <c r="C1336" s="2" t="s">
        <v>1941</v>
      </c>
      <c r="D1336" s="1" t="s">
        <v>1979</v>
      </c>
      <c r="E1336">
        <v>3600</v>
      </c>
      <c r="F1336">
        <v>3650</v>
      </c>
      <c r="G1336">
        <v>3800</v>
      </c>
      <c r="H1336">
        <v>6300</v>
      </c>
    </row>
    <row r="1337" spans="1:8" x14ac:dyDescent="0.25">
      <c r="A1337" s="10">
        <v>1965</v>
      </c>
      <c r="B1337" t="s">
        <v>1970</v>
      </c>
      <c r="C1337" s="2" t="s">
        <v>1942</v>
      </c>
      <c r="D1337" s="1" t="s">
        <v>1979</v>
      </c>
      <c r="E1337">
        <v>3600</v>
      </c>
      <c r="F1337">
        <v>3650</v>
      </c>
      <c r="G1337">
        <v>3800</v>
      </c>
      <c r="H1337">
        <v>6300</v>
      </c>
    </row>
    <row r="1338" spans="1:8" x14ac:dyDescent="0.25">
      <c r="A1338" s="10">
        <v>1966</v>
      </c>
      <c r="B1338" t="s">
        <v>1971</v>
      </c>
      <c r="C1338" s="2" t="s">
        <v>1943</v>
      </c>
      <c r="D1338" s="1" t="s">
        <v>1979</v>
      </c>
      <c r="E1338">
        <v>3600</v>
      </c>
      <c r="F1338">
        <v>3650</v>
      </c>
      <c r="G1338">
        <v>3800</v>
      </c>
      <c r="H1338">
        <v>6300</v>
      </c>
    </row>
    <row r="1339" spans="1:8" x14ac:dyDescent="0.25">
      <c r="A1339" s="10">
        <v>1967</v>
      </c>
      <c r="B1339" t="s">
        <v>1972</v>
      </c>
      <c r="C1339" s="2" t="s">
        <v>1944</v>
      </c>
      <c r="D1339" s="1" t="s">
        <v>1979</v>
      </c>
      <c r="E1339">
        <v>3600</v>
      </c>
      <c r="F1339">
        <v>3650</v>
      </c>
      <c r="G1339">
        <v>3800</v>
      </c>
      <c r="H1339">
        <v>6300</v>
      </c>
    </row>
    <row r="1340" spans="1:8" x14ac:dyDescent="0.25">
      <c r="A1340" s="10">
        <v>1968</v>
      </c>
      <c r="B1340" t="s">
        <v>1973</v>
      </c>
      <c r="C1340" s="2" t="s">
        <v>1945</v>
      </c>
      <c r="D1340" s="1" t="s">
        <v>1979</v>
      </c>
      <c r="E1340">
        <v>3600</v>
      </c>
      <c r="F1340">
        <v>3650</v>
      </c>
      <c r="G1340">
        <v>3800</v>
      </c>
      <c r="H1340">
        <v>6300</v>
      </c>
    </row>
    <row r="1341" spans="1:8" x14ac:dyDescent="0.25">
      <c r="A1341" s="10">
        <v>1969</v>
      </c>
      <c r="B1341" t="s">
        <v>1974</v>
      </c>
      <c r="C1341" s="2" t="s">
        <v>1946</v>
      </c>
      <c r="D1341" s="1" t="s">
        <v>1979</v>
      </c>
      <c r="E1341">
        <v>3600</v>
      </c>
      <c r="F1341">
        <v>3650</v>
      </c>
      <c r="G1341">
        <v>3800</v>
      </c>
      <c r="H1341">
        <v>6300</v>
      </c>
    </row>
    <row r="1342" spans="1:8" x14ac:dyDescent="0.25">
      <c r="A1342" s="10">
        <v>1970</v>
      </c>
      <c r="B1342" t="s">
        <v>1975</v>
      </c>
      <c r="C1342" s="2" t="s">
        <v>1947</v>
      </c>
      <c r="D1342" s="1" t="s">
        <v>1979</v>
      </c>
      <c r="E1342">
        <v>3600</v>
      </c>
      <c r="F1342">
        <v>3650</v>
      </c>
      <c r="G1342">
        <v>3800</v>
      </c>
      <c r="H1342">
        <v>6300</v>
      </c>
    </row>
    <row r="1343" spans="1:8" x14ac:dyDescent="0.25">
      <c r="A1343" s="10">
        <v>1971</v>
      </c>
      <c r="B1343" t="s">
        <v>1976</v>
      </c>
      <c r="C1343" s="2" t="s">
        <v>1948</v>
      </c>
      <c r="D1343" s="1" t="s">
        <v>1979</v>
      </c>
      <c r="E1343">
        <v>3600</v>
      </c>
      <c r="F1343">
        <v>3650</v>
      </c>
      <c r="G1343">
        <v>3800</v>
      </c>
      <c r="H1343">
        <v>6300</v>
      </c>
    </row>
    <row r="1344" spans="1:8" x14ac:dyDescent="0.25">
      <c r="A1344" s="10">
        <v>1972</v>
      </c>
      <c r="B1344" t="s">
        <v>1977</v>
      </c>
      <c r="C1344" s="2" t="s">
        <v>1949</v>
      </c>
      <c r="D1344" s="1" t="s">
        <v>1979</v>
      </c>
      <c r="E1344">
        <v>3600</v>
      </c>
      <c r="F1344">
        <v>3650</v>
      </c>
      <c r="G1344">
        <v>3800</v>
      </c>
      <c r="H1344">
        <v>6300</v>
      </c>
    </row>
    <row r="1345" spans="1:8" x14ac:dyDescent="0.25">
      <c r="C1345" s="5"/>
    </row>
    <row r="1346" spans="1:8" x14ac:dyDescent="0.25">
      <c r="A1346" s="10">
        <v>1973</v>
      </c>
      <c r="B1346" t="s">
        <v>1964</v>
      </c>
      <c r="C1346" s="2" t="s">
        <v>1950</v>
      </c>
      <c r="D1346" s="1" t="s">
        <v>1980</v>
      </c>
      <c r="E1346">
        <v>9000</v>
      </c>
      <c r="F1346">
        <v>9100</v>
      </c>
      <c r="G1346">
        <v>9500</v>
      </c>
      <c r="H1346">
        <v>15560</v>
      </c>
    </row>
    <row r="1347" spans="1:8" x14ac:dyDescent="0.25">
      <c r="A1347" s="10">
        <v>1974</v>
      </c>
      <c r="B1347" t="s">
        <v>1965</v>
      </c>
      <c r="C1347" s="2" t="s">
        <v>1951</v>
      </c>
      <c r="D1347" s="1" t="s">
        <v>1980</v>
      </c>
      <c r="E1347">
        <v>9000</v>
      </c>
      <c r="F1347">
        <v>9100</v>
      </c>
      <c r="G1347">
        <v>9500</v>
      </c>
      <c r="H1347">
        <v>15560</v>
      </c>
    </row>
    <row r="1348" spans="1:8" x14ac:dyDescent="0.25">
      <c r="A1348" s="10">
        <v>1975</v>
      </c>
      <c r="B1348" t="s">
        <v>1966</v>
      </c>
      <c r="C1348" s="2" t="s">
        <v>1952</v>
      </c>
      <c r="D1348" s="1" t="s">
        <v>1980</v>
      </c>
      <c r="E1348">
        <v>9000</v>
      </c>
      <c r="F1348">
        <v>9100</v>
      </c>
      <c r="G1348">
        <v>9500</v>
      </c>
      <c r="H1348">
        <v>15560</v>
      </c>
    </row>
    <row r="1349" spans="1:8" x14ac:dyDescent="0.25">
      <c r="A1349" s="10">
        <v>1976</v>
      </c>
      <c r="B1349" t="s">
        <v>1967</v>
      </c>
      <c r="C1349" s="2" t="s">
        <v>1953</v>
      </c>
      <c r="D1349" s="1" t="s">
        <v>1980</v>
      </c>
      <c r="E1349">
        <v>9000</v>
      </c>
      <c r="F1349">
        <v>9100</v>
      </c>
      <c r="G1349">
        <v>9500</v>
      </c>
      <c r="H1349">
        <v>15560</v>
      </c>
    </row>
    <row r="1350" spans="1:8" x14ac:dyDescent="0.25">
      <c r="A1350" s="10">
        <v>1977</v>
      </c>
      <c r="B1350" t="s">
        <v>1968</v>
      </c>
      <c r="C1350" s="2" t="s">
        <v>1954</v>
      </c>
      <c r="D1350" s="1" t="s">
        <v>1980</v>
      </c>
      <c r="E1350">
        <v>9000</v>
      </c>
      <c r="F1350">
        <v>9100</v>
      </c>
      <c r="G1350">
        <v>9500</v>
      </c>
      <c r="H1350">
        <v>15560</v>
      </c>
    </row>
    <row r="1351" spans="1:8" x14ac:dyDescent="0.25">
      <c r="A1351" s="10">
        <v>1978</v>
      </c>
      <c r="B1351" t="s">
        <v>1969</v>
      </c>
      <c r="C1351" s="2" t="s">
        <v>1955</v>
      </c>
      <c r="D1351" s="1" t="s">
        <v>1980</v>
      </c>
      <c r="E1351">
        <v>9000</v>
      </c>
      <c r="F1351">
        <v>9100</v>
      </c>
      <c r="G1351">
        <v>9500</v>
      </c>
      <c r="H1351">
        <v>15560</v>
      </c>
    </row>
    <row r="1352" spans="1:8" x14ac:dyDescent="0.25">
      <c r="A1352" s="10">
        <v>1979</v>
      </c>
      <c r="B1352" t="s">
        <v>1970</v>
      </c>
      <c r="C1352" s="2" t="s">
        <v>1956</v>
      </c>
      <c r="D1352" s="1" t="s">
        <v>1980</v>
      </c>
      <c r="E1352">
        <v>9000</v>
      </c>
      <c r="F1352">
        <v>9100</v>
      </c>
      <c r="G1352">
        <v>9500</v>
      </c>
      <c r="H1352">
        <v>15560</v>
      </c>
    </row>
    <row r="1353" spans="1:8" x14ac:dyDescent="0.25">
      <c r="A1353" s="10">
        <v>1980</v>
      </c>
      <c r="B1353" t="s">
        <v>1971</v>
      </c>
      <c r="C1353" s="2" t="s">
        <v>1957</v>
      </c>
      <c r="D1353" s="1" t="s">
        <v>1980</v>
      </c>
      <c r="E1353">
        <v>9000</v>
      </c>
      <c r="F1353">
        <v>9100</v>
      </c>
      <c r="G1353">
        <v>9500</v>
      </c>
      <c r="H1353">
        <v>15560</v>
      </c>
    </row>
    <row r="1354" spans="1:8" x14ac:dyDescent="0.25">
      <c r="A1354" s="10">
        <v>1981</v>
      </c>
      <c r="B1354" t="s">
        <v>1972</v>
      </c>
      <c r="C1354" s="2" t="s">
        <v>1958</v>
      </c>
      <c r="D1354" s="1" t="s">
        <v>1980</v>
      </c>
      <c r="E1354">
        <v>9000</v>
      </c>
      <c r="F1354">
        <v>9100</v>
      </c>
      <c r="G1354">
        <v>9500</v>
      </c>
      <c r="H1354">
        <v>15560</v>
      </c>
    </row>
    <row r="1355" spans="1:8" x14ac:dyDescent="0.25">
      <c r="A1355" s="10">
        <v>1982</v>
      </c>
      <c r="B1355" t="s">
        <v>1973</v>
      </c>
      <c r="C1355" s="2" t="s">
        <v>1959</v>
      </c>
      <c r="D1355" s="1" t="s">
        <v>1980</v>
      </c>
      <c r="E1355">
        <v>9000</v>
      </c>
      <c r="F1355">
        <v>9100</v>
      </c>
      <c r="G1355">
        <v>9500</v>
      </c>
      <c r="H1355">
        <v>15560</v>
      </c>
    </row>
    <row r="1356" spans="1:8" x14ac:dyDescent="0.25">
      <c r="A1356" s="10">
        <v>1983</v>
      </c>
      <c r="B1356" t="s">
        <v>1974</v>
      </c>
      <c r="C1356" s="2" t="s">
        <v>1960</v>
      </c>
      <c r="D1356" s="1" t="s">
        <v>1980</v>
      </c>
      <c r="E1356">
        <v>9000</v>
      </c>
      <c r="F1356">
        <v>9100</v>
      </c>
      <c r="G1356">
        <v>9500</v>
      </c>
      <c r="H1356">
        <v>15560</v>
      </c>
    </row>
    <row r="1357" spans="1:8" x14ac:dyDescent="0.25">
      <c r="A1357" s="10">
        <v>1984</v>
      </c>
      <c r="B1357" t="s">
        <v>1975</v>
      </c>
      <c r="C1357" s="2" t="s">
        <v>1961</v>
      </c>
      <c r="D1357" s="1" t="s">
        <v>1980</v>
      </c>
      <c r="E1357">
        <v>9000</v>
      </c>
      <c r="F1357">
        <v>9100</v>
      </c>
      <c r="G1357">
        <v>9500</v>
      </c>
      <c r="H1357">
        <v>15560</v>
      </c>
    </row>
    <row r="1358" spans="1:8" x14ac:dyDescent="0.25">
      <c r="A1358" s="10">
        <v>1985</v>
      </c>
      <c r="B1358" t="s">
        <v>1976</v>
      </c>
      <c r="C1358" s="2" t="s">
        <v>1962</v>
      </c>
      <c r="D1358" s="1" t="s">
        <v>1980</v>
      </c>
      <c r="E1358">
        <v>9000</v>
      </c>
      <c r="F1358">
        <v>9100</v>
      </c>
      <c r="G1358">
        <v>9500</v>
      </c>
      <c r="H1358">
        <v>15560</v>
      </c>
    </row>
    <row r="1359" spans="1:8" x14ac:dyDescent="0.25">
      <c r="A1359" s="10">
        <v>1986</v>
      </c>
      <c r="B1359" t="s">
        <v>1977</v>
      </c>
      <c r="C1359" s="2" t="s">
        <v>1963</v>
      </c>
      <c r="D1359" s="1" t="s">
        <v>1980</v>
      </c>
      <c r="E1359">
        <v>9000</v>
      </c>
      <c r="F1359">
        <v>9100</v>
      </c>
      <c r="G1359">
        <v>9500</v>
      </c>
      <c r="H1359">
        <v>15560</v>
      </c>
    </row>
    <row r="1360" spans="1:8" x14ac:dyDescent="0.25">
      <c r="C1360" s="5"/>
    </row>
    <row r="1361" spans="1:8" x14ac:dyDescent="0.25">
      <c r="A1361" s="10">
        <v>1987</v>
      </c>
      <c r="B1361" t="s">
        <v>2053</v>
      </c>
      <c r="C1361" s="2" t="s">
        <v>1981</v>
      </c>
      <c r="D1361" s="1" t="s">
        <v>2071</v>
      </c>
      <c r="E1361">
        <v>1250</v>
      </c>
      <c r="F1361">
        <v>1300</v>
      </c>
      <c r="G1361">
        <v>1500</v>
      </c>
      <c r="H1361">
        <v>2270</v>
      </c>
    </row>
    <row r="1362" spans="1:8" x14ac:dyDescent="0.25">
      <c r="A1362" s="10">
        <v>1988</v>
      </c>
      <c r="B1362" t="s">
        <v>2054</v>
      </c>
      <c r="C1362" s="2" t="s">
        <v>1982</v>
      </c>
      <c r="D1362" s="1" t="s">
        <v>2071</v>
      </c>
      <c r="E1362">
        <v>1250</v>
      </c>
      <c r="F1362">
        <v>1300</v>
      </c>
      <c r="G1362">
        <v>1500</v>
      </c>
      <c r="H1362">
        <v>2270</v>
      </c>
    </row>
    <row r="1363" spans="1:8" x14ac:dyDescent="0.25">
      <c r="A1363" s="10">
        <v>1989</v>
      </c>
      <c r="B1363" t="s">
        <v>2055</v>
      </c>
      <c r="C1363" s="2" t="s">
        <v>1983</v>
      </c>
      <c r="D1363" s="1" t="s">
        <v>2071</v>
      </c>
      <c r="E1363">
        <v>1250</v>
      </c>
      <c r="F1363">
        <v>1300</v>
      </c>
      <c r="G1363">
        <v>1500</v>
      </c>
      <c r="H1363">
        <v>2270</v>
      </c>
    </row>
    <row r="1364" spans="1:8" x14ac:dyDescent="0.25">
      <c r="A1364" s="10">
        <v>1990</v>
      </c>
      <c r="B1364" t="s">
        <v>2056</v>
      </c>
      <c r="C1364" s="2" t="s">
        <v>1984</v>
      </c>
      <c r="D1364" s="1" t="s">
        <v>2071</v>
      </c>
      <c r="E1364">
        <v>1250</v>
      </c>
      <c r="F1364">
        <v>1300</v>
      </c>
      <c r="G1364">
        <v>1500</v>
      </c>
      <c r="H1364">
        <v>2270</v>
      </c>
    </row>
    <row r="1365" spans="1:8" x14ac:dyDescent="0.25">
      <c r="A1365" s="10">
        <v>1991</v>
      </c>
      <c r="B1365" t="s">
        <v>2057</v>
      </c>
      <c r="C1365" s="2" t="s">
        <v>1985</v>
      </c>
      <c r="D1365" s="1" t="s">
        <v>2071</v>
      </c>
      <c r="E1365">
        <v>1250</v>
      </c>
      <c r="F1365">
        <v>1300</v>
      </c>
      <c r="G1365">
        <v>1500</v>
      </c>
      <c r="H1365">
        <v>2270</v>
      </c>
    </row>
    <row r="1366" spans="1:8" x14ac:dyDescent="0.25">
      <c r="A1366" s="10">
        <v>1992</v>
      </c>
      <c r="B1366" t="s">
        <v>2058</v>
      </c>
      <c r="C1366" s="2" t="s">
        <v>1986</v>
      </c>
      <c r="D1366" s="1" t="s">
        <v>2071</v>
      </c>
      <c r="E1366">
        <v>1250</v>
      </c>
      <c r="F1366">
        <v>1300</v>
      </c>
      <c r="G1366">
        <v>1500</v>
      </c>
      <c r="H1366">
        <v>2270</v>
      </c>
    </row>
    <row r="1367" spans="1:8" x14ac:dyDescent="0.25">
      <c r="A1367" s="10">
        <v>1993</v>
      </c>
      <c r="B1367" t="s">
        <v>2059</v>
      </c>
      <c r="C1367" s="2" t="s">
        <v>1987</v>
      </c>
      <c r="D1367" s="1" t="s">
        <v>2071</v>
      </c>
      <c r="E1367">
        <v>1250</v>
      </c>
      <c r="F1367">
        <v>1300</v>
      </c>
      <c r="G1367">
        <v>1500</v>
      </c>
      <c r="H1367">
        <v>2270</v>
      </c>
    </row>
    <row r="1368" spans="1:8" x14ac:dyDescent="0.25">
      <c r="A1368" s="10">
        <v>1994</v>
      </c>
      <c r="B1368" t="s">
        <v>2060</v>
      </c>
      <c r="C1368" s="2" t="s">
        <v>1988</v>
      </c>
      <c r="D1368" s="1" t="s">
        <v>2071</v>
      </c>
      <c r="E1368">
        <v>1250</v>
      </c>
      <c r="F1368">
        <v>1300</v>
      </c>
      <c r="G1368">
        <v>1500</v>
      </c>
      <c r="H1368">
        <v>2270</v>
      </c>
    </row>
    <row r="1369" spans="1:8" x14ac:dyDescent="0.25">
      <c r="A1369" s="10">
        <v>1995</v>
      </c>
      <c r="B1369" t="s">
        <v>2061</v>
      </c>
      <c r="C1369" s="2" t="s">
        <v>1989</v>
      </c>
      <c r="D1369" s="1" t="s">
        <v>2071</v>
      </c>
      <c r="E1369">
        <v>1250</v>
      </c>
      <c r="F1369">
        <v>1300</v>
      </c>
      <c r="G1369">
        <v>1500</v>
      </c>
      <c r="H1369">
        <v>2270</v>
      </c>
    </row>
    <row r="1370" spans="1:8" x14ac:dyDescent="0.25">
      <c r="A1370" s="10">
        <v>1996</v>
      </c>
      <c r="B1370" t="s">
        <v>2062</v>
      </c>
      <c r="C1370" s="2" t="s">
        <v>1990</v>
      </c>
      <c r="D1370" s="1" t="s">
        <v>2071</v>
      </c>
      <c r="E1370">
        <v>1250</v>
      </c>
      <c r="F1370">
        <v>1300</v>
      </c>
      <c r="G1370">
        <v>1500</v>
      </c>
      <c r="H1370">
        <v>2270</v>
      </c>
    </row>
    <row r="1371" spans="1:8" x14ac:dyDescent="0.25">
      <c r="A1371" s="10">
        <v>1997</v>
      </c>
      <c r="B1371" t="s">
        <v>2063</v>
      </c>
      <c r="C1371" s="2" t="s">
        <v>1991</v>
      </c>
      <c r="D1371" s="1" t="s">
        <v>2071</v>
      </c>
      <c r="E1371">
        <v>1250</v>
      </c>
      <c r="F1371">
        <v>1300</v>
      </c>
      <c r="G1371">
        <v>1500</v>
      </c>
      <c r="H1371">
        <v>2270</v>
      </c>
    </row>
    <row r="1372" spans="1:8" x14ac:dyDescent="0.25">
      <c r="A1372" s="10">
        <v>1998</v>
      </c>
      <c r="B1372" t="s">
        <v>2064</v>
      </c>
      <c r="C1372" s="2" t="s">
        <v>1992</v>
      </c>
      <c r="D1372" s="1" t="s">
        <v>2071</v>
      </c>
      <c r="E1372">
        <v>1250</v>
      </c>
      <c r="F1372">
        <v>1300</v>
      </c>
      <c r="G1372">
        <v>1500</v>
      </c>
      <c r="H1372">
        <v>2270</v>
      </c>
    </row>
    <row r="1373" spans="1:8" x14ac:dyDescent="0.25">
      <c r="A1373" s="10">
        <v>1999</v>
      </c>
      <c r="B1373" t="s">
        <v>2065</v>
      </c>
      <c r="C1373" s="2" t="s">
        <v>1993</v>
      </c>
      <c r="D1373" s="1" t="s">
        <v>2071</v>
      </c>
      <c r="E1373">
        <v>1250</v>
      </c>
      <c r="F1373">
        <v>1300</v>
      </c>
      <c r="G1373">
        <v>1500</v>
      </c>
      <c r="H1373">
        <v>2270</v>
      </c>
    </row>
    <row r="1374" spans="1:8" x14ac:dyDescent="0.25">
      <c r="A1374" s="10">
        <v>2000</v>
      </c>
      <c r="B1374" t="s">
        <v>2066</v>
      </c>
      <c r="C1374" s="2" t="s">
        <v>1994</v>
      </c>
      <c r="D1374" s="1" t="s">
        <v>2071</v>
      </c>
      <c r="E1374">
        <v>1250</v>
      </c>
      <c r="F1374">
        <v>1300</v>
      </c>
      <c r="G1374">
        <v>1500</v>
      </c>
      <c r="H1374">
        <v>2270</v>
      </c>
    </row>
    <row r="1375" spans="1:8" x14ac:dyDescent="0.25">
      <c r="A1375" s="10">
        <v>2001</v>
      </c>
      <c r="B1375" t="s">
        <v>2067</v>
      </c>
      <c r="C1375" s="2" t="s">
        <v>1995</v>
      </c>
      <c r="D1375" s="1" t="s">
        <v>2071</v>
      </c>
      <c r="E1375">
        <v>1250</v>
      </c>
      <c r="F1375">
        <v>1300</v>
      </c>
      <c r="G1375">
        <v>1500</v>
      </c>
      <c r="H1375">
        <v>2270</v>
      </c>
    </row>
    <row r="1376" spans="1:8" x14ac:dyDescent="0.25">
      <c r="A1376" s="10">
        <v>2002</v>
      </c>
      <c r="B1376" t="s">
        <v>2068</v>
      </c>
      <c r="C1376" s="2" t="s">
        <v>1996</v>
      </c>
      <c r="D1376" s="1" t="s">
        <v>2071</v>
      </c>
      <c r="E1376">
        <v>1250</v>
      </c>
      <c r="F1376">
        <v>1300</v>
      </c>
      <c r="G1376">
        <v>1500</v>
      </c>
      <c r="H1376">
        <v>2270</v>
      </c>
    </row>
    <row r="1377" spans="1:8" x14ac:dyDescent="0.25">
      <c r="A1377" s="10">
        <v>2003</v>
      </c>
      <c r="B1377" t="s">
        <v>2069</v>
      </c>
      <c r="C1377" s="2" t="s">
        <v>1997</v>
      </c>
      <c r="D1377" s="1" t="s">
        <v>2071</v>
      </c>
      <c r="E1377">
        <v>1250</v>
      </c>
      <c r="F1377">
        <v>1300</v>
      </c>
      <c r="G1377">
        <v>1500</v>
      </c>
      <c r="H1377">
        <v>2270</v>
      </c>
    </row>
    <row r="1378" spans="1:8" x14ac:dyDescent="0.25">
      <c r="A1378" s="10">
        <v>2004</v>
      </c>
      <c r="B1378" t="s">
        <v>2070</v>
      </c>
      <c r="C1378" s="2" t="s">
        <v>1998</v>
      </c>
      <c r="D1378" s="1" t="s">
        <v>2071</v>
      </c>
      <c r="E1378">
        <v>1250</v>
      </c>
      <c r="F1378">
        <v>1300</v>
      </c>
      <c r="G1378">
        <v>1500</v>
      </c>
      <c r="H1378">
        <v>2270</v>
      </c>
    </row>
    <row r="1379" spans="1:8" x14ac:dyDescent="0.25">
      <c r="C1379" s="2"/>
    </row>
    <row r="1380" spans="1:8" x14ac:dyDescent="0.25">
      <c r="A1380" s="10">
        <v>2005</v>
      </c>
      <c r="B1380" t="s">
        <v>2053</v>
      </c>
      <c r="C1380" s="2" t="s">
        <v>1999</v>
      </c>
      <c r="D1380" s="1" t="s">
        <v>2072</v>
      </c>
      <c r="E1380">
        <v>5100</v>
      </c>
      <c r="F1380">
        <v>5200</v>
      </c>
      <c r="G1380">
        <v>5800</v>
      </c>
      <c r="H1380">
        <v>8660</v>
      </c>
    </row>
    <row r="1381" spans="1:8" x14ac:dyDescent="0.25">
      <c r="A1381" s="10">
        <v>2006</v>
      </c>
      <c r="B1381" t="s">
        <v>2054</v>
      </c>
      <c r="C1381" s="2" t="s">
        <v>2000</v>
      </c>
      <c r="D1381" s="1" t="s">
        <v>2072</v>
      </c>
      <c r="E1381">
        <v>5100</v>
      </c>
      <c r="F1381">
        <v>5200</v>
      </c>
      <c r="G1381">
        <v>5800</v>
      </c>
      <c r="H1381">
        <v>8660</v>
      </c>
    </row>
    <row r="1382" spans="1:8" x14ac:dyDescent="0.25">
      <c r="A1382" s="10">
        <v>2007</v>
      </c>
      <c r="B1382" t="s">
        <v>2055</v>
      </c>
      <c r="C1382" s="2" t="s">
        <v>2001</v>
      </c>
      <c r="D1382" s="1" t="s">
        <v>2072</v>
      </c>
      <c r="E1382">
        <v>5100</v>
      </c>
      <c r="F1382">
        <v>5200</v>
      </c>
      <c r="G1382">
        <v>5800</v>
      </c>
      <c r="H1382">
        <v>8660</v>
      </c>
    </row>
    <row r="1383" spans="1:8" x14ac:dyDescent="0.25">
      <c r="A1383" s="10">
        <v>2008</v>
      </c>
      <c r="B1383" t="s">
        <v>2056</v>
      </c>
      <c r="C1383" s="2" t="s">
        <v>2002</v>
      </c>
      <c r="D1383" s="1" t="s">
        <v>2072</v>
      </c>
      <c r="E1383">
        <v>5100</v>
      </c>
      <c r="F1383">
        <v>5200</v>
      </c>
      <c r="G1383">
        <v>5800</v>
      </c>
      <c r="H1383">
        <v>8660</v>
      </c>
    </row>
    <row r="1384" spans="1:8" x14ac:dyDescent="0.25">
      <c r="A1384" s="10">
        <v>2009</v>
      </c>
      <c r="B1384" t="s">
        <v>2057</v>
      </c>
      <c r="C1384" s="2" t="s">
        <v>2003</v>
      </c>
      <c r="D1384" s="1" t="s">
        <v>2072</v>
      </c>
      <c r="E1384">
        <v>5100</v>
      </c>
      <c r="F1384">
        <v>5200</v>
      </c>
      <c r="G1384">
        <v>5800</v>
      </c>
      <c r="H1384">
        <v>8660</v>
      </c>
    </row>
    <row r="1385" spans="1:8" x14ac:dyDescent="0.25">
      <c r="A1385" s="10">
        <v>2010</v>
      </c>
      <c r="B1385" t="s">
        <v>2058</v>
      </c>
      <c r="C1385" s="2" t="s">
        <v>2004</v>
      </c>
      <c r="D1385" s="1" t="s">
        <v>2072</v>
      </c>
      <c r="E1385">
        <v>5100</v>
      </c>
      <c r="F1385">
        <v>5200</v>
      </c>
      <c r="G1385">
        <v>5800</v>
      </c>
      <c r="H1385">
        <v>8660</v>
      </c>
    </row>
    <row r="1386" spans="1:8" x14ac:dyDescent="0.25">
      <c r="A1386" s="10">
        <v>2011</v>
      </c>
      <c r="B1386" t="s">
        <v>2059</v>
      </c>
      <c r="C1386" s="2" t="s">
        <v>2005</v>
      </c>
      <c r="D1386" s="1" t="s">
        <v>2072</v>
      </c>
      <c r="E1386">
        <v>5100</v>
      </c>
      <c r="F1386">
        <v>5200</v>
      </c>
      <c r="G1386">
        <v>5800</v>
      </c>
      <c r="H1386">
        <v>8660</v>
      </c>
    </row>
    <row r="1387" spans="1:8" x14ac:dyDescent="0.25">
      <c r="A1387" s="10">
        <v>2012</v>
      </c>
      <c r="B1387" t="s">
        <v>2060</v>
      </c>
      <c r="C1387" s="2" t="s">
        <v>2006</v>
      </c>
      <c r="D1387" s="1" t="s">
        <v>2072</v>
      </c>
      <c r="E1387">
        <v>5100</v>
      </c>
      <c r="F1387">
        <v>5200</v>
      </c>
      <c r="G1387">
        <v>5800</v>
      </c>
      <c r="H1387">
        <v>8660</v>
      </c>
    </row>
    <row r="1388" spans="1:8" x14ac:dyDescent="0.25">
      <c r="A1388" s="10">
        <v>2013</v>
      </c>
      <c r="B1388" t="s">
        <v>2061</v>
      </c>
      <c r="C1388" s="2" t="s">
        <v>2007</v>
      </c>
      <c r="D1388" s="1" t="s">
        <v>2072</v>
      </c>
      <c r="E1388">
        <v>5100</v>
      </c>
      <c r="F1388">
        <v>5200</v>
      </c>
      <c r="G1388">
        <v>5800</v>
      </c>
      <c r="H1388">
        <v>8660</v>
      </c>
    </row>
    <row r="1389" spans="1:8" x14ac:dyDescent="0.25">
      <c r="A1389" s="10">
        <v>2014</v>
      </c>
      <c r="B1389" t="s">
        <v>2062</v>
      </c>
      <c r="C1389" s="2" t="s">
        <v>2008</v>
      </c>
      <c r="D1389" s="1" t="s">
        <v>2072</v>
      </c>
      <c r="E1389">
        <v>5100</v>
      </c>
      <c r="F1389">
        <v>5200</v>
      </c>
      <c r="G1389">
        <v>5800</v>
      </c>
      <c r="H1389">
        <v>8660</v>
      </c>
    </row>
    <row r="1390" spans="1:8" x14ac:dyDescent="0.25">
      <c r="A1390" s="10">
        <v>2015</v>
      </c>
      <c r="B1390" t="s">
        <v>2063</v>
      </c>
      <c r="C1390" s="2" t="s">
        <v>2009</v>
      </c>
      <c r="D1390" s="1" t="s">
        <v>2072</v>
      </c>
      <c r="E1390">
        <v>5100</v>
      </c>
      <c r="F1390">
        <v>5200</v>
      </c>
      <c r="G1390">
        <v>5800</v>
      </c>
      <c r="H1390">
        <v>8660</v>
      </c>
    </row>
    <row r="1391" spans="1:8" x14ac:dyDescent="0.25">
      <c r="A1391" s="10">
        <v>2016</v>
      </c>
      <c r="B1391" t="s">
        <v>2064</v>
      </c>
      <c r="C1391" s="2" t="s">
        <v>2010</v>
      </c>
      <c r="D1391" s="1" t="s">
        <v>2072</v>
      </c>
      <c r="E1391">
        <v>5100</v>
      </c>
      <c r="F1391">
        <v>5200</v>
      </c>
      <c r="G1391">
        <v>5800</v>
      </c>
      <c r="H1391">
        <v>8660</v>
      </c>
    </row>
    <row r="1392" spans="1:8" x14ac:dyDescent="0.25">
      <c r="A1392" s="10">
        <v>2017</v>
      </c>
      <c r="B1392" t="s">
        <v>2065</v>
      </c>
      <c r="C1392" s="2" t="s">
        <v>2011</v>
      </c>
      <c r="D1392" s="1" t="s">
        <v>2072</v>
      </c>
      <c r="E1392">
        <v>5100</v>
      </c>
      <c r="F1392">
        <v>5200</v>
      </c>
      <c r="G1392">
        <v>5800</v>
      </c>
      <c r="H1392">
        <v>8660</v>
      </c>
    </row>
    <row r="1393" spans="1:8" x14ac:dyDescent="0.25">
      <c r="A1393" s="10">
        <v>2018</v>
      </c>
      <c r="B1393" t="s">
        <v>2066</v>
      </c>
      <c r="C1393" s="2" t="s">
        <v>2012</v>
      </c>
      <c r="D1393" s="1" t="s">
        <v>2072</v>
      </c>
      <c r="E1393">
        <v>5100</v>
      </c>
      <c r="F1393">
        <v>5200</v>
      </c>
      <c r="G1393">
        <v>5800</v>
      </c>
      <c r="H1393">
        <v>8660</v>
      </c>
    </row>
    <row r="1394" spans="1:8" x14ac:dyDescent="0.25">
      <c r="A1394" s="10">
        <v>2019</v>
      </c>
      <c r="B1394" t="s">
        <v>2067</v>
      </c>
      <c r="C1394" s="2" t="s">
        <v>2013</v>
      </c>
      <c r="D1394" s="1" t="s">
        <v>2072</v>
      </c>
      <c r="E1394">
        <v>5100</v>
      </c>
      <c r="F1394">
        <v>5200</v>
      </c>
      <c r="G1394">
        <v>5800</v>
      </c>
      <c r="H1394">
        <v>8660</v>
      </c>
    </row>
    <row r="1395" spans="1:8" x14ac:dyDescent="0.25">
      <c r="A1395" s="10">
        <v>2020</v>
      </c>
      <c r="B1395" t="s">
        <v>2068</v>
      </c>
      <c r="C1395" s="2" t="s">
        <v>2014</v>
      </c>
      <c r="D1395" s="1" t="s">
        <v>2072</v>
      </c>
      <c r="E1395">
        <v>5100</v>
      </c>
      <c r="F1395">
        <v>5200</v>
      </c>
      <c r="G1395">
        <v>5800</v>
      </c>
      <c r="H1395">
        <v>8660</v>
      </c>
    </row>
    <row r="1396" spans="1:8" x14ac:dyDescent="0.25">
      <c r="A1396" s="10">
        <v>2021</v>
      </c>
      <c r="B1396" t="s">
        <v>2069</v>
      </c>
      <c r="C1396" s="2" t="s">
        <v>2015</v>
      </c>
      <c r="D1396" s="1" t="s">
        <v>2072</v>
      </c>
      <c r="E1396">
        <v>5100</v>
      </c>
      <c r="F1396">
        <v>5200</v>
      </c>
      <c r="G1396">
        <v>5800</v>
      </c>
      <c r="H1396">
        <v>8660</v>
      </c>
    </row>
    <row r="1397" spans="1:8" x14ac:dyDescent="0.25">
      <c r="A1397" s="10">
        <v>2022</v>
      </c>
      <c r="B1397" t="s">
        <v>2070</v>
      </c>
      <c r="C1397" s="2" t="s">
        <v>2016</v>
      </c>
      <c r="D1397" s="1" t="s">
        <v>2072</v>
      </c>
      <c r="E1397">
        <v>5100</v>
      </c>
      <c r="F1397">
        <v>5200</v>
      </c>
      <c r="G1397">
        <v>5800</v>
      </c>
      <c r="H1397">
        <v>8660</v>
      </c>
    </row>
    <row r="1398" spans="1:8" x14ac:dyDescent="0.25">
      <c r="C1398" s="5"/>
    </row>
    <row r="1399" spans="1:8" x14ac:dyDescent="0.25">
      <c r="A1399" s="10">
        <v>2023</v>
      </c>
      <c r="B1399" t="s">
        <v>2053</v>
      </c>
      <c r="C1399" s="2" t="s">
        <v>2017</v>
      </c>
      <c r="D1399" s="1" t="s">
        <v>2073</v>
      </c>
      <c r="E1399">
        <v>11050</v>
      </c>
      <c r="F1399">
        <v>11500</v>
      </c>
      <c r="G1399">
        <v>13000</v>
      </c>
      <c r="H1399">
        <v>20600</v>
      </c>
    </row>
    <row r="1400" spans="1:8" x14ac:dyDescent="0.25">
      <c r="A1400" s="10">
        <v>2024</v>
      </c>
      <c r="B1400" t="s">
        <v>2054</v>
      </c>
      <c r="C1400" s="2" t="s">
        <v>2018</v>
      </c>
      <c r="D1400" s="1" t="s">
        <v>2073</v>
      </c>
      <c r="E1400">
        <v>11050</v>
      </c>
      <c r="F1400">
        <v>11500</v>
      </c>
      <c r="G1400">
        <v>13000</v>
      </c>
      <c r="H1400">
        <v>20600</v>
      </c>
    </row>
    <row r="1401" spans="1:8" x14ac:dyDescent="0.25">
      <c r="A1401" s="10">
        <v>2025</v>
      </c>
      <c r="B1401" t="s">
        <v>2055</v>
      </c>
      <c r="C1401" s="2" t="s">
        <v>2019</v>
      </c>
      <c r="D1401" s="1" t="s">
        <v>2073</v>
      </c>
      <c r="E1401">
        <v>11050</v>
      </c>
      <c r="F1401">
        <v>11500</v>
      </c>
      <c r="G1401">
        <v>13000</v>
      </c>
      <c r="H1401">
        <v>20600</v>
      </c>
    </row>
    <row r="1402" spans="1:8" x14ac:dyDescent="0.25">
      <c r="A1402" s="10">
        <v>2026</v>
      </c>
      <c r="B1402" t="s">
        <v>2056</v>
      </c>
      <c r="C1402" s="2" t="s">
        <v>2020</v>
      </c>
      <c r="D1402" s="1" t="s">
        <v>2073</v>
      </c>
      <c r="E1402">
        <v>11050</v>
      </c>
      <c r="F1402">
        <v>11500</v>
      </c>
      <c r="G1402">
        <v>13000</v>
      </c>
      <c r="H1402">
        <v>20600</v>
      </c>
    </row>
    <row r="1403" spans="1:8" x14ac:dyDescent="0.25">
      <c r="A1403" s="10">
        <v>2027</v>
      </c>
      <c r="B1403" t="s">
        <v>2057</v>
      </c>
      <c r="C1403" s="2" t="s">
        <v>2021</v>
      </c>
      <c r="D1403" s="1" t="s">
        <v>2073</v>
      </c>
      <c r="E1403">
        <v>11050</v>
      </c>
      <c r="F1403">
        <v>11500</v>
      </c>
      <c r="G1403">
        <v>13000</v>
      </c>
      <c r="H1403">
        <v>20600</v>
      </c>
    </row>
    <row r="1404" spans="1:8" x14ac:dyDescent="0.25">
      <c r="A1404" s="10">
        <v>2028</v>
      </c>
      <c r="B1404" t="s">
        <v>2058</v>
      </c>
      <c r="C1404" s="2" t="s">
        <v>2022</v>
      </c>
      <c r="D1404" s="1" t="s">
        <v>2073</v>
      </c>
      <c r="E1404">
        <v>11050</v>
      </c>
      <c r="F1404">
        <v>11500</v>
      </c>
      <c r="G1404">
        <v>13000</v>
      </c>
      <c r="H1404">
        <v>20600</v>
      </c>
    </row>
    <row r="1405" spans="1:8" x14ac:dyDescent="0.25">
      <c r="A1405" s="10">
        <v>2029</v>
      </c>
      <c r="B1405" t="s">
        <v>2059</v>
      </c>
      <c r="C1405" s="2" t="s">
        <v>2023</v>
      </c>
      <c r="D1405" s="1" t="s">
        <v>2073</v>
      </c>
      <c r="E1405">
        <v>11050</v>
      </c>
      <c r="F1405">
        <v>11500</v>
      </c>
      <c r="G1405">
        <v>13000</v>
      </c>
      <c r="H1405">
        <v>20600</v>
      </c>
    </row>
    <row r="1406" spans="1:8" x14ac:dyDescent="0.25">
      <c r="A1406" s="10">
        <v>2030</v>
      </c>
      <c r="B1406" t="s">
        <v>2060</v>
      </c>
      <c r="C1406" s="2" t="s">
        <v>2024</v>
      </c>
      <c r="D1406" s="1" t="s">
        <v>2073</v>
      </c>
      <c r="E1406">
        <v>11050</v>
      </c>
      <c r="F1406">
        <v>11500</v>
      </c>
      <c r="G1406">
        <v>13000</v>
      </c>
      <c r="H1406">
        <v>20600</v>
      </c>
    </row>
    <row r="1407" spans="1:8" x14ac:dyDescent="0.25">
      <c r="A1407" s="10">
        <v>2031</v>
      </c>
      <c r="B1407" t="s">
        <v>2061</v>
      </c>
      <c r="C1407" s="2" t="s">
        <v>2025</v>
      </c>
      <c r="D1407" s="1" t="s">
        <v>2073</v>
      </c>
      <c r="E1407">
        <v>11050</v>
      </c>
      <c r="F1407">
        <v>11500</v>
      </c>
      <c r="G1407">
        <v>13000</v>
      </c>
      <c r="H1407">
        <v>20600</v>
      </c>
    </row>
    <row r="1408" spans="1:8" x14ac:dyDescent="0.25">
      <c r="A1408" s="10">
        <v>2032</v>
      </c>
      <c r="B1408" t="s">
        <v>2062</v>
      </c>
      <c r="C1408" s="2" t="s">
        <v>2026</v>
      </c>
      <c r="D1408" s="1" t="s">
        <v>2073</v>
      </c>
      <c r="E1408">
        <v>11050</v>
      </c>
      <c r="F1408">
        <v>11500</v>
      </c>
      <c r="G1408">
        <v>13000</v>
      </c>
      <c r="H1408">
        <v>20600</v>
      </c>
    </row>
    <row r="1409" spans="1:8" x14ac:dyDescent="0.25">
      <c r="A1409" s="10">
        <v>2033</v>
      </c>
      <c r="B1409" t="s">
        <v>2063</v>
      </c>
      <c r="C1409" s="2" t="s">
        <v>2027</v>
      </c>
      <c r="D1409" s="1" t="s">
        <v>2073</v>
      </c>
      <c r="E1409">
        <v>11050</v>
      </c>
      <c r="F1409">
        <v>11500</v>
      </c>
      <c r="G1409">
        <v>13000</v>
      </c>
      <c r="H1409">
        <v>20600</v>
      </c>
    </row>
    <row r="1410" spans="1:8" x14ac:dyDescent="0.25">
      <c r="A1410" s="10">
        <v>2034</v>
      </c>
      <c r="B1410" t="s">
        <v>2064</v>
      </c>
      <c r="C1410" s="2" t="s">
        <v>2028</v>
      </c>
      <c r="D1410" s="1" t="s">
        <v>2073</v>
      </c>
      <c r="E1410">
        <v>11050</v>
      </c>
      <c r="F1410">
        <v>11500</v>
      </c>
      <c r="G1410">
        <v>13000</v>
      </c>
      <c r="H1410">
        <v>20600</v>
      </c>
    </row>
    <row r="1411" spans="1:8" x14ac:dyDescent="0.25">
      <c r="A1411" s="10">
        <v>2035</v>
      </c>
      <c r="B1411" t="s">
        <v>2065</v>
      </c>
      <c r="C1411" s="2" t="s">
        <v>2029</v>
      </c>
      <c r="D1411" s="1" t="s">
        <v>2073</v>
      </c>
      <c r="E1411">
        <v>11050</v>
      </c>
      <c r="F1411">
        <v>11500</v>
      </c>
      <c r="G1411">
        <v>13000</v>
      </c>
      <c r="H1411">
        <v>20600</v>
      </c>
    </row>
    <row r="1412" spans="1:8" x14ac:dyDescent="0.25">
      <c r="A1412" s="10">
        <v>2036</v>
      </c>
      <c r="B1412" t="s">
        <v>2066</v>
      </c>
      <c r="C1412" s="2" t="s">
        <v>2030</v>
      </c>
      <c r="D1412" s="1" t="s">
        <v>2073</v>
      </c>
      <c r="E1412">
        <v>11050</v>
      </c>
      <c r="F1412">
        <v>11500</v>
      </c>
      <c r="G1412">
        <v>13000</v>
      </c>
      <c r="H1412">
        <v>20600</v>
      </c>
    </row>
    <row r="1413" spans="1:8" x14ac:dyDescent="0.25">
      <c r="A1413" s="10">
        <v>2037</v>
      </c>
      <c r="B1413" t="s">
        <v>2067</v>
      </c>
      <c r="C1413" s="2" t="s">
        <v>2031</v>
      </c>
      <c r="D1413" s="1" t="s">
        <v>2073</v>
      </c>
      <c r="E1413">
        <v>11050</v>
      </c>
      <c r="F1413">
        <v>11500</v>
      </c>
      <c r="G1413">
        <v>13000</v>
      </c>
      <c r="H1413">
        <v>20600</v>
      </c>
    </row>
    <row r="1414" spans="1:8" x14ac:dyDescent="0.25">
      <c r="A1414" s="10">
        <v>2038</v>
      </c>
      <c r="B1414" t="s">
        <v>2068</v>
      </c>
      <c r="C1414" s="2" t="s">
        <v>2032</v>
      </c>
      <c r="D1414" s="1" t="s">
        <v>2073</v>
      </c>
      <c r="E1414">
        <v>11050</v>
      </c>
      <c r="F1414">
        <v>11500</v>
      </c>
      <c r="G1414">
        <v>13000</v>
      </c>
      <c r="H1414">
        <v>20600</v>
      </c>
    </row>
    <row r="1415" spans="1:8" x14ac:dyDescent="0.25">
      <c r="A1415" s="10">
        <v>2039</v>
      </c>
      <c r="B1415" t="s">
        <v>2069</v>
      </c>
      <c r="C1415" s="2" t="s">
        <v>2033</v>
      </c>
      <c r="D1415" s="1" t="s">
        <v>2073</v>
      </c>
      <c r="E1415">
        <v>11050</v>
      </c>
      <c r="F1415">
        <v>11500</v>
      </c>
      <c r="G1415">
        <v>13000</v>
      </c>
      <c r="H1415">
        <v>20600</v>
      </c>
    </row>
    <row r="1416" spans="1:8" x14ac:dyDescent="0.25">
      <c r="A1416" s="10">
        <v>2040</v>
      </c>
      <c r="B1416" t="s">
        <v>2070</v>
      </c>
      <c r="C1416" s="2" t="s">
        <v>2034</v>
      </c>
      <c r="D1416" s="1" t="s">
        <v>2073</v>
      </c>
      <c r="E1416">
        <v>11050</v>
      </c>
      <c r="F1416">
        <v>11500</v>
      </c>
      <c r="G1416">
        <v>13000</v>
      </c>
      <c r="H1416">
        <v>20600</v>
      </c>
    </row>
    <row r="1417" spans="1:8" x14ac:dyDescent="0.25">
      <c r="C1417" s="5"/>
    </row>
    <row r="1418" spans="1:8" x14ac:dyDescent="0.25">
      <c r="A1418" s="10">
        <v>2041</v>
      </c>
      <c r="B1418" t="s">
        <v>2053</v>
      </c>
      <c r="C1418" s="2" t="s">
        <v>2035</v>
      </c>
      <c r="D1418" s="1" t="s">
        <v>2074</v>
      </c>
      <c r="E1418">
        <v>22500</v>
      </c>
      <c r="F1418">
        <v>23000</v>
      </c>
      <c r="G1418">
        <v>25500</v>
      </c>
      <c r="H1418">
        <v>41680</v>
      </c>
    </row>
    <row r="1419" spans="1:8" x14ac:dyDescent="0.25">
      <c r="A1419" s="10">
        <v>2042</v>
      </c>
      <c r="B1419" t="s">
        <v>2054</v>
      </c>
      <c r="C1419" s="2" t="s">
        <v>2036</v>
      </c>
      <c r="D1419" s="1" t="s">
        <v>2074</v>
      </c>
      <c r="E1419">
        <v>22500</v>
      </c>
      <c r="F1419">
        <v>23000</v>
      </c>
      <c r="G1419">
        <v>25500</v>
      </c>
      <c r="H1419">
        <v>41680</v>
      </c>
    </row>
    <row r="1420" spans="1:8" x14ac:dyDescent="0.25">
      <c r="A1420" s="10">
        <v>2043</v>
      </c>
      <c r="B1420" t="s">
        <v>2055</v>
      </c>
      <c r="C1420" s="2" t="s">
        <v>2037</v>
      </c>
      <c r="D1420" s="1" t="s">
        <v>2074</v>
      </c>
      <c r="E1420">
        <v>22500</v>
      </c>
      <c r="F1420">
        <v>23000</v>
      </c>
      <c r="G1420">
        <v>25500</v>
      </c>
      <c r="H1420">
        <v>41680</v>
      </c>
    </row>
    <row r="1421" spans="1:8" x14ac:dyDescent="0.25">
      <c r="A1421" s="10">
        <v>2044</v>
      </c>
      <c r="B1421" t="s">
        <v>2056</v>
      </c>
      <c r="C1421" s="2" t="s">
        <v>2038</v>
      </c>
      <c r="D1421" s="1" t="s">
        <v>2074</v>
      </c>
      <c r="E1421">
        <v>22500</v>
      </c>
      <c r="F1421">
        <v>23000</v>
      </c>
      <c r="G1421">
        <v>25500</v>
      </c>
      <c r="H1421">
        <v>41680</v>
      </c>
    </row>
    <row r="1422" spans="1:8" x14ac:dyDescent="0.25">
      <c r="A1422" s="10">
        <v>2045</v>
      </c>
      <c r="B1422" t="s">
        <v>2057</v>
      </c>
      <c r="C1422" s="2" t="s">
        <v>2039</v>
      </c>
      <c r="D1422" s="1" t="s">
        <v>2074</v>
      </c>
      <c r="E1422">
        <v>22500</v>
      </c>
      <c r="F1422">
        <v>23000</v>
      </c>
      <c r="G1422">
        <v>25500</v>
      </c>
      <c r="H1422">
        <v>41680</v>
      </c>
    </row>
    <row r="1423" spans="1:8" x14ac:dyDescent="0.25">
      <c r="A1423" s="10">
        <v>2046</v>
      </c>
      <c r="B1423" t="s">
        <v>2058</v>
      </c>
      <c r="C1423" s="2" t="s">
        <v>2040</v>
      </c>
      <c r="D1423" s="1" t="s">
        <v>2074</v>
      </c>
      <c r="E1423">
        <v>22500</v>
      </c>
      <c r="F1423">
        <v>23000</v>
      </c>
      <c r="G1423">
        <v>25500</v>
      </c>
      <c r="H1423">
        <v>41680</v>
      </c>
    </row>
    <row r="1424" spans="1:8" x14ac:dyDescent="0.25">
      <c r="A1424" s="10">
        <v>2047</v>
      </c>
      <c r="B1424" t="s">
        <v>2059</v>
      </c>
      <c r="C1424" s="2" t="s">
        <v>2041</v>
      </c>
      <c r="D1424" s="1" t="s">
        <v>2074</v>
      </c>
      <c r="E1424">
        <v>22500</v>
      </c>
      <c r="F1424">
        <v>23000</v>
      </c>
      <c r="G1424">
        <v>25500</v>
      </c>
      <c r="H1424">
        <v>41680</v>
      </c>
    </row>
    <row r="1425" spans="1:8" x14ac:dyDescent="0.25">
      <c r="A1425" s="10">
        <v>2048</v>
      </c>
      <c r="B1425" t="s">
        <v>2060</v>
      </c>
      <c r="C1425" s="2" t="s">
        <v>2042</v>
      </c>
      <c r="D1425" s="1" t="s">
        <v>2074</v>
      </c>
      <c r="E1425">
        <v>22500</v>
      </c>
      <c r="F1425">
        <v>23000</v>
      </c>
      <c r="G1425">
        <v>25500</v>
      </c>
      <c r="H1425">
        <v>41680</v>
      </c>
    </row>
    <row r="1426" spans="1:8" x14ac:dyDescent="0.25">
      <c r="A1426" s="10">
        <v>2049</v>
      </c>
      <c r="B1426" t="s">
        <v>2061</v>
      </c>
      <c r="C1426" s="2" t="s">
        <v>2043</v>
      </c>
      <c r="D1426" s="1" t="s">
        <v>2074</v>
      </c>
      <c r="E1426">
        <v>22500</v>
      </c>
      <c r="F1426">
        <v>23000</v>
      </c>
      <c r="G1426">
        <v>25500</v>
      </c>
      <c r="H1426">
        <v>41680</v>
      </c>
    </row>
    <row r="1427" spans="1:8" x14ac:dyDescent="0.25">
      <c r="A1427" s="10">
        <v>2050</v>
      </c>
      <c r="B1427" t="s">
        <v>2062</v>
      </c>
      <c r="C1427" s="2" t="s">
        <v>2044</v>
      </c>
      <c r="D1427" s="1" t="s">
        <v>2074</v>
      </c>
      <c r="E1427">
        <v>22500</v>
      </c>
      <c r="F1427">
        <v>23000</v>
      </c>
      <c r="G1427">
        <v>25500</v>
      </c>
      <c r="H1427">
        <v>41680</v>
      </c>
    </row>
    <row r="1428" spans="1:8" x14ac:dyDescent="0.25">
      <c r="A1428" s="10">
        <v>2051</v>
      </c>
      <c r="B1428" t="s">
        <v>2063</v>
      </c>
      <c r="C1428" s="2" t="s">
        <v>2045</v>
      </c>
      <c r="D1428" s="1" t="s">
        <v>2074</v>
      </c>
      <c r="E1428">
        <v>22500</v>
      </c>
      <c r="F1428">
        <v>23000</v>
      </c>
      <c r="G1428">
        <v>25500</v>
      </c>
      <c r="H1428">
        <v>41680</v>
      </c>
    </row>
    <row r="1429" spans="1:8" x14ac:dyDescent="0.25">
      <c r="A1429" s="10">
        <v>2052</v>
      </c>
      <c r="B1429" t="s">
        <v>2064</v>
      </c>
      <c r="C1429" s="2" t="s">
        <v>2046</v>
      </c>
      <c r="D1429" s="1" t="s">
        <v>2074</v>
      </c>
      <c r="E1429">
        <v>22500</v>
      </c>
      <c r="F1429">
        <v>23000</v>
      </c>
      <c r="G1429">
        <v>25500</v>
      </c>
      <c r="H1429">
        <v>41680</v>
      </c>
    </row>
    <row r="1430" spans="1:8" x14ac:dyDescent="0.25">
      <c r="A1430" s="10">
        <v>2053</v>
      </c>
      <c r="B1430" t="s">
        <v>2065</v>
      </c>
      <c r="C1430" s="2" t="s">
        <v>2047</v>
      </c>
      <c r="D1430" s="1" t="s">
        <v>2074</v>
      </c>
      <c r="E1430">
        <v>22500</v>
      </c>
      <c r="F1430">
        <v>23000</v>
      </c>
      <c r="G1430">
        <v>25500</v>
      </c>
      <c r="H1430">
        <v>41680</v>
      </c>
    </row>
    <row r="1431" spans="1:8" x14ac:dyDescent="0.25">
      <c r="A1431" s="10">
        <v>2054</v>
      </c>
      <c r="B1431" t="s">
        <v>2066</v>
      </c>
      <c r="C1431" s="2" t="s">
        <v>2048</v>
      </c>
      <c r="D1431" s="1" t="s">
        <v>2074</v>
      </c>
      <c r="E1431">
        <v>22500</v>
      </c>
      <c r="F1431">
        <v>23000</v>
      </c>
      <c r="G1431">
        <v>25500</v>
      </c>
      <c r="H1431">
        <v>41680</v>
      </c>
    </row>
    <row r="1432" spans="1:8" x14ac:dyDescent="0.25">
      <c r="A1432" s="10">
        <v>2055</v>
      </c>
      <c r="B1432" t="s">
        <v>2067</v>
      </c>
      <c r="C1432" s="2" t="s">
        <v>2049</v>
      </c>
      <c r="D1432" s="1" t="s">
        <v>2074</v>
      </c>
      <c r="E1432">
        <v>22500</v>
      </c>
      <c r="F1432">
        <v>23000</v>
      </c>
      <c r="G1432">
        <v>25500</v>
      </c>
      <c r="H1432">
        <v>41680</v>
      </c>
    </row>
    <row r="1433" spans="1:8" x14ac:dyDescent="0.25">
      <c r="A1433" s="10">
        <v>2056</v>
      </c>
      <c r="B1433" t="s">
        <v>2068</v>
      </c>
      <c r="C1433" s="2" t="s">
        <v>2050</v>
      </c>
      <c r="D1433" s="1" t="s">
        <v>2074</v>
      </c>
      <c r="E1433">
        <v>22500</v>
      </c>
      <c r="F1433">
        <v>23000</v>
      </c>
      <c r="G1433">
        <v>25500</v>
      </c>
      <c r="H1433">
        <v>41680</v>
      </c>
    </row>
    <row r="1434" spans="1:8" x14ac:dyDescent="0.25">
      <c r="A1434" s="10">
        <v>2057</v>
      </c>
      <c r="B1434" t="s">
        <v>2069</v>
      </c>
      <c r="C1434" s="2" t="s">
        <v>2051</v>
      </c>
      <c r="D1434" s="1" t="s">
        <v>2074</v>
      </c>
      <c r="E1434">
        <v>22500</v>
      </c>
      <c r="F1434">
        <v>23000</v>
      </c>
      <c r="G1434">
        <v>25500</v>
      </c>
      <c r="H1434">
        <v>41680</v>
      </c>
    </row>
    <row r="1435" spans="1:8" x14ac:dyDescent="0.25">
      <c r="A1435" s="10">
        <v>2058</v>
      </c>
      <c r="B1435" t="s">
        <v>2070</v>
      </c>
      <c r="C1435" s="2" t="s">
        <v>2052</v>
      </c>
      <c r="D1435" s="1" t="s">
        <v>2074</v>
      </c>
      <c r="E1435">
        <v>22500</v>
      </c>
      <c r="F1435">
        <v>23000</v>
      </c>
      <c r="G1435">
        <v>25500</v>
      </c>
      <c r="H1435">
        <v>41680</v>
      </c>
    </row>
    <row r="1436" spans="1:8" x14ac:dyDescent="0.25">
      <c r="C1436" s="5"/>
    </row>
    <row r="1437" spans="1:8" x14ac:dyDescent="0.25">
      <c r="A1437" s="10">
        <v>2059</v>
      </c>
      <c r="B1437" t="s">
        <v>2075</v>
      </c>
      <c r="C1437" s="2" t="s">
        <v>100</v>
      </c>
      <c r="D1437" s="1" t="s">
        <v>2076</v>
      </c>
      <c r="E1437">
        <v>1380</v>
      </c>
      <c r="F1437">
        <v>1380</v>
      </c>
      <c r="G1437">
        <v>1600</v>
      </c>
      <c r="H1437">
        <v>2980</v>
      </c>
    </row>
    <row r="1438" spans="1:8" x14ac:dyDescent="0.25">
      <c r="A1438" s="10">
        <v>2060</v>
      </c>
      <c r="B1438" t="s">
        <v>2075</v>
      </c>
      <c r="C1438" s="2" t="s">
        <v>101</v>
      </c>
      <c r="D1438" s="1" t="s">
        <v>2076</v>
      </c>
      <c r="E1438">
        <v>4485</v>
      </c>
      <c r="F1438">
        <v>4485</v>
      </c>
      <c r="G1438">
        <v>5000</v>
      </c>
      <c r="H1438">
        <v>10480</v>
      </c>
    </row>
    <row r="1439" spans="1:8" x14ac:dyDescent="0.25">
      <c r="A1439" s="10">
        <v>2061</v>
      </c>
      <c r="B1439" t="s">
        <v>2075</v>
      </c>
      <c r="C1439" s="2" t="s">
        <v>102</v>
      </c>
      <c r="D1439" s="1" t="s">
        <v>2076</v>
      </c>
      <c r="E1439">
        <v>10380</v>
      </c>
      <c r="F1439">
        <v>10380</v>
      </c>
      <c r="G1439">
        <v>11800</v>
      </c>
      <c r="H1439">
        <v>17390</v>
      </c>
    </row>
    <row r="1440" spans="1:8" x14ac:dyDescent="0.25">
      <c r="A1440" s="10">
        <v>2062</v>
      </c>
      <c r="B1440" t="s">
        <v>2075</v>
      </c>
      <c r="C1440" s="2" t="s">
        <v>103</v>
      </c>
      <c r="D1440" s="1" t="s">
        <v>2076</v>
      </c>
      <c r="E1440">
        <v>20750</v>
      </c>
      <c r="F1440">
        <v>20750</v>
      </c>
      <c r="G1440">
        <v>22500</v>
      </c>
      <c r="H1440">
        <v>33170</v>
      </c>
    </row>
    <row r="1441" spans="1:8" x14ac:dyDescent="0.25">
      <c r="A1441" s="10">
        <v>2063</v>
      </c>
      <c r="B1441" t="s">
        <v>95</v>
      </c>
      <c r="C1441" s="4" t="s">
        <v>104</v>
      </c>
      <c r="D1441" s="1" t="s">
        <v>2077</v>
      </c>
      <c r="E1441">
        <v>1780</v>
      </c>
      <c r="F1441">
        <v>1780</v>
      </c>
      <c r="G1441">
        <v>1800</v>
      </c>
      <c r="H1441">
        <v>2200</v>
      </c>
    </row>
    <row r="1442" spans="1:8" x14ac:dyDescent="0.25">
      <c r="A1442" s="10">
        <v>2064</v>
      </c>
      <c r="B1442" t="s">
        <v>95</v>
      </c>
      <c r="C1442" s="4" t="s">
        <v>105</v>
      </c>
      <c r="D1442" s="1" t="s">
        <v>2077</v>
      </c>
      <c r="E1442">
        <v>5790</v>
      </c>
      <c r="F1442">
        <v>5790</v>
      </c>
      <c r="G1442">
        <v>6500</v>
      </c>
      <c r="H1442">
        <v>9740</v>
      </c>
    </row>
    <row r="1443" spans="1:8" x14ac:dyDescent="0.25">
      <c r="A1443" s="10">
        <v>2065</v>
      </c>
      <c r="B1443" t="s">
        <v>95</v>
      </c>
      <c r="C1443" s="4" t="s">
        <v>2349</v>
      </c>
      <c r="D1443" s="1" t="s">
        <v>2077</v>
      </c>
      <c r="E1443">
        <v>13930</v>
      </c>
      <c r="F1443">
        <v>13930</v>
      </c>
      <c r="G1443">
        <v>15800</v>
      </c>
      <c r="H1443">
        <v>33620</v>
      </c>
    </row>
    <row r="1444" spans="1:8" x14ac:dyDescent="0.25">
      <c r="A1444" s="10">
        <v>2066</v>
      </c>
      <c r="B1444" t="s">
        <v>95</v>
      </c>
      <c r="C1444" s="4" t="s">
        <v>2350</v>
      </c>
      <c r="D1444" s="1" t="s">
        <v>2077</v>
      </c>
      <c r="E1444">
        <v>26420</v>
      </c>
      <c r="F1444">
        <v>26420</v>
      </c>
      <c r="G1444">
        <v>29800</v>
      </c>
      <c r="H1444">
        <v>44790</v>
      </c>
    </row>
    <row r="1445" spans="1:8" x14ac:dyDescent="0.25">
      <c r="A1445" s="10">
        <v>2067</v>
      </c>
      <c r="B1445" t="s">
        <v>96</v>
      </c>
      <c r="C1445" s="2" t="s">
        <v>106</v>
      </c>
      <c r="D1445" s="1" t="s">
        <v>2076</v>
      </c>
      <c r="E1445">
        <v>980</v>
      </c>
      <c r="F1445">
        <v>980</v>
      </c>
      <c r="G1445">
        <v>1000</v>
      </c>
      <c r="H1445">
        <v>1460</v>
      </c>
    </row>
    <row r="1446" spans="1:8" x14ac:dyDescent="0.25">
      <c r="A1446" s="10">
        <v>2068</v>
      </c>
      <c r="B1446" t="s">
        <v>96</v>
      </c>
      <c r="C1446" s="2" t="s">
        <v>107</v>
      </c>
      <c r="D1446" s="1" t="s">
        <v>2076</v>
      </c>
      <c r="E1446">
        <v>3140</v>
      </c>
      <c r="F1446">
        <v>3140</v>
      </c>
      <c r="G1446">
        <v>3200</v>
      </c>
      <c r="H1446">
        <v>7610</v>
      </c>
    </row>
    <row r="1447" spans="1:8" x14ac:dyDescent="0.25">
      <c r="A1447" s="10">
        <v>2069</v>
      </c>
      <c r="B1447" t="s">
        <v>96</v>
      </c>
      <c r="C1447" s="2" t="s">
        <v>108</v>
      </c>
      <c r="D1447" s="1" t="s">
        <v>2076</v>
      </c>
      <c r="E1447">
        <v>7390</v>
      </c>
      <c r="F1447">
        <v>7390</v>
      </c>
      <c r="G1447">
        <v>7400</v>
      </c>
      <c r="H1447">
        <v>17680</v>
      </c>
    </row>
    <row r="1448" spans="1:8" x14ac:dyDescent="0.25">
      <c r="A1448" s="10">
        <v>2070</v>
      </c>
      <c r="B1448" t="s">
        <v>96</v>
      </c>
      <c r="C1448" s="2" t="s">
        <v>109</v>
      </c>
      <c r="D1448" s="1" t="s">
        <v>2076</v>
      </c>
      <c r="E1448">
        <v>14180</v>
      </c>
      <c r="F1448">
        <v>14180</v>
      </c>
      <c r="G1448">
        <v>14200</v>
      </c>
      <c r="H1448">
        <v>33900</v>
      </c>
    </row>
    <row r="1449" spans="1:8" x14ac:dyDescent="0.25">
      <c r="A1449" s="10">
        <v>2071</v>
      </c>
      <c r="B1449" t="s">
        <v>97</v>
      </c>
      <c r="C1449" s="2" t="s">
        <v>110</v>
      </c>
      <c r="D1449" s="1" t="s">
        <v>2077</v>
      </c>
    </row>
    <row r="1450" spans="1:8" x14ac:dyDescent="0.25">
      <c r="A1450" s="10">
        <v>2072</v>
      </c>
      <c r="B1450" t="s">
        <v>97</v>
      </c>
      <c r="C1450" s="2" t="s">
        <v>111</v>
      </c>
      <c r="D1450" s="1" t="s">
        <v>2077</v>
      </c>
      <c r="E1450">
        <v>3930</v>
      </c>
      <c r="F1450">
        <v>3930</v>
      </c>
      <c r="G1450">
        <v>3950</v>
      </c>
      <c r="H1450">
        <v>8975</v>
      </c>
    </row>
    <row r="1451" spans="1:8" x14ac:dyDescent="0.25">
      <c r="A1451" s="10">
        <v>2073</v>
      </c>
      <c r="B1451" t="s">
        <v>97</v>
      </c>
      <c r="C1451" s="2" t="s">
        <v>112</v>
      </c>
      <c r="D1451" s="1" t="s">
        <v>2077</v>
      </c>
      <c r="E1451">
        <v>9630</v>
      </c>
      <c r="F1451">
        <v>9630</v>
      </c>
      <c r="G1451">
        <v>9650</v>
      </c>
      <c r="H1451">
        <v>21750</v>
      </c>
    </row>
    <row r="1452" spans="1:8" x14ac:dyDescent="0.25">
      <c r="A1452" s="10">
        <v>2074</v>
      </c>
      <c r="B1452" t="s">
        <v>97</v>
      </c>
      <c r="C1452" s="2" t="s">
        <v>113</v>
      </c>
      <c r="D1452" s="1" t="s">
        <v>2077</v>
      </c>
      <c r="E1452">
        <v>18880</v>
      </c>
      <c r="F1452">
        <v>18880</v>
      </c>
      <c r="G1452">
        <v>18900</v>
      </c>
      <c r="H1452">
        <v>42690</v>
      </c>
    </row>
    <row r="1453" spans="1:8" x14ac:dyDescent="0.25">
      <c r="A1453" s="10">
        <v>2075</v>
      </c>
      <c r="B1453" t="s">
        <v>2081</v>
      </c>
      <c r="C1453" s="2" t="s">
        <v>2078</v>
      </c>
      <c r="D1453" s="1" t="s">
        <v>2077</v>
      </c>
      <c r="E1453">
        <v>3495</v>
      </c>
      <c r="F1453">
        <v>3495</v>
      </c>
      <c r="G1453">
        <v>3500</v>
      </c>
      <c r="H1453">
        <v>9640</v>
      </c>
    </row>
    <row r="1454" spans="1:8" x14ac:dyDescent="0.25">
      <c r="A1454" s="10">
        <v>2076</v>
      </c>
      <c r="B1454" t="s">
        <v>2081</v>
      </c>
      <c r="C1454" s="2" t="s">
        <v>2079</v>
      </c>
      <c r="D1454" s="1" t="s">
        <v>2077</v>
      </c>
      <c r="E1454">
        <v>7935</v>
      </c>
      <c r="F1454">
        <v>7935</v>
      </c>
      <c r="G1454">
        <v>7950</v>
      </c>
      <c r="H1454">
        <v>23460</v>
      </c>
    </row>
    <row r="1455" spans="1:8" x14ac:dyDescent="0.25">
      <c r="A1455" s="10">
        <v>2077</v>
      </c>
      <c r="B1455" t="s">
        <v>2081</v>
      </c>
      <c r="C1455" s="2" t="s">
        <v>2080</v>
      </c>
      <c r="D1455" s="1" t="s">
        <v>2077</v>
      </c>
      <c r="E1455">
        <v>14495</v>
      </c>
      <c r="F1455">
        <v>14495</v>
      </c>
      <c r="G1455">
        <v>14500</v>
      </c>
      <c r="H1455">
        <v>44950</v>
      </c>
    </row>
    <row r="1456" spans="1:8" x14ac:dyDescent="0.25">
      <c r="C1456" s="5"/>
    </row>
    <row r="1457" spans="1:8" x14ac:dyDescent="0.25">
      <c r="A1457" s="10">
        <v>2078</v>
      </c>
      <c r="B1457" t="s">
        <v>2091</v>
      </c>
      <c r="C1457" s="2" t="s">
        <v>2082</v>
      </c>
      <c r="D1457" s="1" t="s">
        <v>2090</v>
      </c>
      <c r="E1457">
        <v>480</v>
      </c>
      <c r="F1457">
        <v>480</v>
      </c>
      <c r="G1457">
        <v>500</v>
      </c>
      <c r="H1457">
        <v>950</v>
      </c>
    </row>
    <row r="1458" spans="1:8" x14ac:dyDescent="0.25">
      <c r="A1458" s="10">
        <v>2079</v>
      </c>
      <c r="B1458" t="s">
        <v>2091</v>
      </c>
      <c r="C1458" s="2" t="s">
        <v>2083</v>
      </c>
      <c r="D1458" s="1" t="s">
        <v>2090</v>
      </c>
      <c r="E1458">
        <v>1150</v>
      </c>
      <c r="F1458">
        <v>1150</v>
      </c>
      <c r="G1458">
        <v>1400</v>
      </c>
      <c r="H1458">
        <v>2050</v>
      </c>
    </row>
    <row r="1459" spans="1:8" x14ac:dyDescent="0.25">
      <c r="A1459" s="10">
        <v>2080</v>
      </c>
      <c r="B1459" t="s">
        <v>2091</v>
      </c>
      <c r="C1459" s="2" t="s">
        <v>2084</v>
      </c>
      <c r="D1459" s="1" t="s">
        <v>2090</v>
      </c>
      <c r="E1459">
        <v>2930</v>
      </c>
      <c r="F1459">
        <v>2930</v>
      </c>
      <c r="G1459">
        <v>3400</v>
      </c>
      <c r="H1459">
        <v>4850</v>
      </c>
    </row>
    <row r="1460" spans="1:8" x14ac:dyDescent="0.25">
      <c r="A1460" s="10">
        <v>2081</v>
      </c>
      <c r="B1460" t="s">
        <v>2091</v>
      </c>
      <c r="C1460" s="2" t="s">
        <v>2085</v>
      </c>
      <c r="D1460" s="1" t="s">
        <v>2090</v>
      </c>
      <c r="E1460">
        <v>4950</v>
      </c>
      <c r="F1460">
        <v>4950</v>
      </c>
      <c r="G1460">
        <v>5500</v>
      </c>
      <c r="H1460">
        <v>8490</v>
      </c>
    </row>
    <row r="1461" spans="1:8" x14ac:dyDescent="0.25">
      <c r="A1461" s="10">
        <v>2082</v>
      </c>
      <c r="B1461" t="s">
        <v>2092</v>
      </c>
      <c r="C1461" s="2" t="s">
        <v>2086</v>
      </c>
      <c r="D1461" s="1" t="s">
        <v>2090</v>
      </c>
      <c r="E1461">
        <v>590</v>
      </c>
      <c r="F1461">
        <v>590</v>
      </c>
      <c r="G1461">
        <v>600</v>
      </c>
      <c r="H1461">
        <v>850</v>
      </c>
    </row>
    <row r="1462" spans="1:8" x14ac:dyDescent="0.25">
      <c r="A1462" s="10">
        <v>2083</v>
      </c>
      <c r="B1462" t="s">
        <v>2092</v>
      </c>
      <c r="C1462" s="2" t="s">
        <v>2087</v>
      </c>
      <c r="D1462" s="1" t="s">
        <v>2090</v>
      </c>
      <c r="E1462">
        <v>1640</v>
      </c>
      <c r="F1462">
        <v>1640</v>
      </c>
      <c r="G1462">
        <v>2000</v>
      </c>
      <c r="H1462">
        <v>2850</v>
      </c>
    </row>
    <row r="1463" spans="1:8" x14ac:dyDescent="0.25">
      <c r="A1463" s="10">
        <v>2084</v>
      </c>
      <c r="B1463" t="s">
        <v>2092</v>
      </c>
      <c r="C1463" s="2" t="s">
        <v>2088</v>
      </c>
      <c r="D1463" s="1" t="s">
        <v>2090</v>
      </c>
      <c r="E1463">
        <v>3940</v>
      </c>
      <c r="F1463">
        <v>3940</v>
      </c>
      <c r="G1463">
        <v>4800</v>
      </c>
      <c r="H1463">
        <v>9850</v>
      </c>
    </row>
    <row r="1464" spans="1:8" x14ac:dyDescent="0.25">
      <c r="A1464" s="10">
        <v>2085</v>
      </c>
      <c r="B1464" t="s">
        <v>2092</v>
      </c>
      <c r="C1464" s="2" t="s">
        <v>2089</v>
      </c>
      <c r="D1464" s="1" t="s">
        <v>2090</v>
      </c>
      <c r="E1464">
        <v>7490</v>
      </c>
      <c r="F1464">
        <v>7490</v>
      </c>
      <c r="G1464">
        <v>8400</v>
      </c>
      <c r="H1464">
        <v>12320</v>
      </c>
    </row>
    <row r="1465" spans="1:8" x14ac:dyDescent="0.25">
      <c r="A1465" s="10">
        <v>2086</v>
      </c>
      <c r="B1465" t="s">
        <v>97</v>
      </c>
      <c r="C1465" s="2" t="s">
        <v>2131</v>
      </c>
      <c r="D1465" s="1" t="s">
        <v>2134</v>
      </c>
      <c r="E1465">
        <v>1264</v>
      </c>
      <c r="F1465">
        <f>SUM(G1465-200)</f>
        <v>1400</v>
      </c>
      <c r="G1465">
        <v>1600</v>
      </c>
      <c r="H1465">
        <v>3160</v>
      </c>
    </row>
    <row r="1466" spans="1:8" x14ac:dyDescent="0.25">
      <c r="A1466" s="10">
        <v>2087</v>
      </c>
      <c r="B1466" t="s">
        <v>97</v>
      </c>
      <c r="C1466" s="2" t="s">
        <v>2130</v>
      </c>
      <c r="D1466" s="1" t="s">
        <v>2134</v>
      </c>
      <c r="E1466">
        <v>5488</v>
      </c>
      <c r="F1466">
        <f t="shared" ref="F1466:F1468" si="14">SUM(G1466-200)</f>
        <v>5800</v>
      </c>
      <c r="G1466">
        <v>6000</v>
      </c>
      <c r="H1466">
        <v>13720</v>
      </c>
    </row>
    <row r="1467" spans="1:8" x14ac:dyDescent="0.25">
      <c r="A1467" s="10">
        <v>2088</v>
      </c>
      <c r="B1467" t="s">
        <v>97</v>
      </c>
      <c r="C1467" s="2" t="s">
        <v>2132</v>
      </c>
      <c r="D1467" s="1" t="s">
        <v>2134</v>
      </c>
      <c r="E1467">
        <v>10540</v>
      </c>
      <c r="F1467">
        <f t="shared" si="14"/>
        <v>10800</v>
      </c>
      <c r="G1467">
        <v>11000</v>
      </c>
      <c r="H1467">
        <v>26350</v>
      </c>
    </row>
    <row r="1468" spans="1:8" x14ac:dyDescent="0.25">
      <c r="A1468" s="10">
        <v>2089</v>
      </c>
      <c r="B1468" t="s">
        <v>97</v>
      </c>
      <c r="C1468" s="2" t="s">
        <v>2133</v>
      </c>
      <c r="D1468" s="1" t="s">
        <v>2134</v>
      </c>
      <c r="E1468">
        <v>19996</v>
      </c>
      <c r="F1468">
        <f t="shared" si="14"/>
        <v>21300</v>
      </c>
      <c r="G1468">
        <v>21500</v>
      </c>
      <c r="H1468">
        <v>49990</v>
      </c>
    </row>
    <row r="1469" spans="1:8" ht="15.75" x14ac:dyDescent="0.25">
      <c r="C1469" s="5"/>
      <c r="D1469" s="6"/>
    </row>
    <row r="1470" spans="1:8" ht="15.75" x14ac:dyDescent="0.25">
      <c r="A1470" s="10">
        <v>2090</v>
      </c>
      <c r="B1470" t="s">
        <v>2103</v>
      </c>
      <c r="C1470" s="2" t="s">
        <v>2097</v>
      </c>
      <c r="D1470" s="6" t="s">
        <v>2104</v>
      </c>
      <c r="E1470">
        <v>238</v>
      </c>
      <c r="F1470">
        <f>SUM(G1470-100)</f>
        <v>400</v>
      </c>
      <c r="G1470">
        <v>500</v>
      </c>
      <c r="H1470">
        <v>950</v>
      </c>
    </row>
    <row r="1471" spans="1:8" ht="15.75" x14ac:dyDescent="0.25">
      <c r="A1471" s="10">
        <v>2091</v>
      </c>
      <c r="B1471" t="s">
        <v>2103</v>
      </c>
      <c r="C1471" s="2" t="s">
        <v>2098</v>
      </c>
      <c r="D1471" s="6" t="s">
        <v>2104</v>
      </c>
      <c r="E1471">
        <v>230</v>
      </c>
      <c r="F1471">
        <f t="shared" ref="F1471:F1479" si="15">SUM(G1471-100)</f>
        <v>400</v>
      </c>
      <c r="G1471">
        <v>500</v>
      </c>
      <c r="H1471">
        <v>950</v>
      </c>
    </row>
    <row r="1472" spans="1:8" ht="15.75" x14ac:dyDescent="0.25">
      <c r="A1472" s="10">
        <v>2092</v>
      </c>
      <c r="B1472" t="s">
        <v>2103</v>
      </c>
      <c r="C1472" s="2" t="s">
        <v>2099</v>
      </c>
      <c r="D1472" s="6" t="s">
        <v>2104</v>
      </c>
      <c r="E1472">
        <v>480</v>
      </c>
      <c r="F1472">
        <f t="shared" si="15"/>
        <v>900</v>
      </c>
      <c r="G1472">
        <v>1000</v>
      </c>
      <c r="H1472">
        <v>1950</v>
      </c>
    </row>
    <row r="1473" spans="1:8" ht="15.75" x14ac:dyDescent="0.25">
      <c r="A1473" s="10">
        <v>2093</v>
      </c>
      <c r="B1473" t="s">
        <v>2103</v>
      </c>
      <c r="C1473" s="2" t="s">
        <v>2100</v>
      </c>
      <c r="D1473" s="6" t="s">
        <v>2104</v>
      </c>
      <c r="E1473">
        <v>480</v>
      </c>
      <c r="F1473">
        <f t="shared" si="15"/>
        <v>900</v>
      </c>
      <c r="G1473">
        <v>1000</v>
      </c>
      <c r="H1473">
        <v>1950</v>
      </c>
    </row>
    <row r="1474" spans="1:8" ht="15.75" x14ac:dyDescent="0.25">
      <c r="A1474" s="10">
        <v>2094</v>
      </c>
      <c r="B1474" t="s">
        <v>2103</v>
      </c>
      <c r="C1474" s="2" t="s">
        <v>2101</v>
      </c>
      <c r="D1474" s="6" t="s">
        <v>2104</v>
      </c>
      <c r="E1474">
        <v>878</v>
      </c>
      <c r="F1474">
        <f t="shared" si="15"/>
        <v>1800</v>
      </c>
      <c r="G1474">
        <v>1900</v>
      </c>
      <c r="H1474">
        <v>3510</v>
      </c>
    </row>
    <row r="1475" spans="1:8" ht="15.75" x14ac:dyDescent="0.25">
      <c r="A1475" s="10">
        <v>2095</v>
      </c>
      <c r="B1475" t="s">
        <v>2103</v>
      </c>
      <c r="C1475" s="2" t="s">
        <v>2102</v>
      </c>
      <c r="D1475" s="6" t="s">
        <v>2104</v>
      </c>
      <c r="E1475">
        <v>878</v>
      </c>
      <c r="F1475">
        <f t="shared" si="15"/>
        <v>1800</v>
      </c>
      <c r="G1475">
        <v>1900</v>
      </c>
      <c r="H1475">
        <v>3510</v>
      </c>
    </row>
    <row r="1476" spans="1:8" x14ac:dyDescent="0.25">
      <c r="A1476" s="10">
        <v>2096</v>
      </c>
      <c r="B1476" s="1" t="s">
        <v>2117</v>
      </c>
      <c r="C1476" s="2" t="s">
        <v>2119</v>
      </c>
      <c r="D1476" s="1" t="s">
        <v>2104</v>
      </c>
      <c r="E1476">
        <v>460</v>
      </c>
      <c r="F1476">
        <f t="shared" si="15"/>
        <v>800</v>
      </c>
      <c r="G1476">
        <v>900</v>
      </c>
      <c r="H1476">
        <v>1840</v>
      </c>
    </row>
    <row r="1477" spans="1:8" x14ac:dyDescent="0.25">
      <c r="A1477" s="10">
        <v>2097</v>
      </c>
      <c r="B1477" s="1" t="s">
        <v>2117</v>
      </c>
      <c r="C1477" s="2" t="s">
        <v>2120</v>
      </c>
      <c r="D1477" s="1" t="s">
        <v>2104</v>
      </c>
      <c r="E1477">
        <v>460</v>
      </c>
      <c r="F1477">
        <f t="shared" si="15"/>
        <v>800</v>
      </c>
      <c r="G1477">
        <v>900</v>
      </c>
      <c r="H1477">
        <v>1840</v>
      </c>
    </row>
    <row r="1478" spans="1:8" x14ac:dyDescent="0.25">
      <c r="A1478" s="10">
        <v>2098</v>
      </c>
      <c r="B1478" s="1" t="s">
        <v>2117</v>
      </c>
      <c r="C1478" s="2" t="s">
        <v>2121</v>
      </c>
      <c r="D1478" s="1" t="s">
        <v>2104</v>
      </c>
      <c r="E1478">
        <v>222</v>
      </c>
      <c r="F1478">
        <f t="shared" si="15"/>
        <v>400</v>
      </c>
      <c r="G1478">
        <v>500</v>
      </c>
      <c r="H1478">
        <v>890</v>
      </c>
    </row>
    <row r="1479" spans="1:8" x14ac:dyDescent="0.25">
      <c r="A1479" s="10">
        <v>2099</v>
      </c>
      <c r="B1479" s="1" t="s">
        <v>2117</v>
      </c>
      <c r="C1479" s="2" t="s">
        <v>2122</v>
      </c>
      <c r="D1479" s="1" t="s">
        <v>2104</v>
      </c>
      <c r="E1479">
        <v>222</v>
      </c>
      <c r="F1479">
        <f t="shared" si="15"/>
        <v>400</v>
      </c>
      <c r="G1479">
        <v>500</v>
      </c>
      <c r="H1479">
        <v>890</v>
      </c>
    </row>
    <row r="1480" spans="1:8" x14ac:dyDescent="0.25">
      <c r="C1480" s="5"/>
    </row>
    <row r="1481" spans="1:8" x14ac:dyDescent="0.25">
      <c r="C1481" s="5"/>
    </row>
    <row r="1482" spans="1:8" x14ac:dyDescent="0.25">
      <c r="A1482" s="10">
        <v>2100</v>
      </c>
      <c r="B1482" s="1" t="s">
        <v>2117</v>
      </c>
      <c r="C1482" s="2" t="s">
        <v>2105</v>
      </c>
      <c r="D1482" s="1" t="s">
        <v>2118</v>
      </c>
      <c r="E1482">
        <v>1917</v>
      </c>
      <c r="F1482">
        <f>SUM(G1482-100)</f>
        <v>2200</v>
      </c>
      <c r="G1482">
        <v>2300</v>
      </c>
      <c r="H1482">
        <v>4260</v>
      </c>
    </row>
    <row r="1483" spans="1:8" x14ac:dyDescent="0.25">
      <c r="A1483" s="10">
        <v>2101</v>
      </c>
      <c r="B1483" s="1" t="s">
        <v>2117</v>
      </c>
      <c r="C1483" s="2" t="s">
        <v>2106</v>
      </c>
      <c r="D1483" s="1" t="s">
        <v>2118</v>
      </c>
      <c r="E1483">
        <v>1623</v>
      </c>
      <c r="F1483">
        <f t="shared" ref="F1483:F1501" si="16">SUM(G1483-100)</f>
        <v>2200</v>
      </c>
      <c r="G1483">
        <v>2300</v>
      </c>
      <c r="H1483">
        <v>3410</v>
      </c>
    </row>
    <row r="1484" spans="1:8" x14ac:dyDescent="0.25">
      <c r="A1484" s="10">
        <v>2102</v>
      </c>
      <c r="B1484" s="1" t="s">
        <v>2117</v>
      </c>
      <c r="C1484" s="2" t="s">
        <v>2107</v>
      </c>
      <c r="D1484" s="1" t="s">
        <v>2118</v>
      </c>
      <c r="E1484">
        <v>1623</v>
      </c>
      <c r="F1484">
        <f t="shared" si="16"/>
        <v>2200</v>
      </c>
      <c r="G1484">
        <v>2300</v>
      </c>
      <c r="H1484">
        <v>3410</v>
      </c>
    </row>
    <row r="1485" spans="1:8" x14ac:dyDescent="0.25">
      <c r="A1485" s="10">
        <v>2103</v>
      </c>
      <c r="B1485" s="1" t="s">
        <v>2117</v>
      </c>
      <c r="C1485" s="2" t="s">
        <v>2108</v>
      </c>
      <c r="D1485" s="1" t="s">
        <v>2118</v>
      </c>
      <c r="E1485">
        <v>2220</v>
      </c>
      <c r="F1485">
        <f t="shared" si="16"/>
        <v>2400</v>
      </c>
      <c r="G1485">
        <v>2500</v>
      </c>
      <c r="H1485">
        <v>3700</v>
      </c>
    </row>
    <row r="1486" spans="1:8" x14ac:dyDescent="0.25">
      <c r="C1486" s="5"/>
    </row>
    <row r="1487" spans="1:8" x14ac:dyDescent="0.25">
      <c r="A1487" s="10">
        <v>2104</v>
      </c>
      <c r="B1487" s="1" t="s">
        <v>2117</v>
      </c>
      <c r="C1487" s="2" t="s">
        <v>2109</v>
      </c>
      <c r="D1487" s="1" t="s">
        <v>2118</v>
      </c>
      <c r="E1487">
        <v>1032</v>
      </c>
      <c r="F1487">
        <f t="shared" si="16"/>
        <v>1100</v>
      </c>
      <c r="G1487">
        <v>1200</v>
      </c>
      <c r="H1487">
        <v>1830</v>
      </c>
    </row>
    <row r="1488" spans="1:8" x14ac:dyDescent="0.25">
      <c r="A1488" s="10">
        <v>2105</v>
      </c>
      <c r="B1488" s="1" t="s">
        <v>2117</v>
      </c>
      <c r="C1488" s="2" t="s">
        <v>2110</v>
      </c>
      <c r="D1488" s="1" t="s">
        <v>2118</v>
      </c>
      <c r="E1488">
        <v>1025</v>
      </c>
      <c r="F1488">
        <f t="shared" si="16"/>
        <v>1100</v>
      </c>
      <c r="G1488">
        <v>1200</v>
      </c>
      <c r="H1488">
        <v>2050</v>
      </c>
    </row>
    <row r="1489" spans="1:8" x14ac:dyDescent="0.25">
      <c r="A1489" s="10">
        <v>2106</v>
      </c>
      <c r="B1489" s="1" t="s">
        <v>2117</v>
      </c>
      <c r="C1489" s="2" t="s">
        <v>2111</v>
      </c>
      <c r="D1489" s="1" t="s">
        <v>2118</v>
      </c>
    </row>
    <row r="1490" spans="1:8" x14ac:dyDescent="0.25">
      <c r="A1490" s="10">
        <v>2107</v>
      </c>
      <c r="B1490" s="1" t="s">
        <v>2117</v>
      </c>
      <c r="C1490" s="2" t="s">
        <v>2112</v>
      </c>
      <c r="D1490" s="1" t="s">
        <v>2118</v>
      </c>
    </row>
    <row r="1491" spans="1:8" x14ac:dyDescent="0.25">
      <c r="C1491" s="5"/>
    </row>
    <row r="1492" spans="1:8" x14ac:dyDescent="0.25">
      <c r="A1492" s="10">
        <v>2108</v>
      </c>
      <c r="B1492" s="1" t="s">
        <v>2117</v>
      </c>
      <c r="C1492" s="2" t="s">
        <v>2113</v>
      </c>
      <c r="D1492" s="1" t="s">
        <v>2118</v>
      </c>
      <c r="E1492">
        <v>540</v>
      </c>
      <c r="F1492">
        <f t="shared" si="16"/>
        <v>600</v>
      </c>
      <c r="G1492">
        <v>700</v>
      </c>
      <c r="H1492">
        <v>1150</v>
      </c>
    </row>
    <row r="1493" spans="1:8" x14ac:dyDescent="0.25">
      <c r="A1493" s="10">
        <v>2109</v>
      </c>
      <c r="B1493" s="1" t="s">
        <v>2117</v>
      </c>
      <c r="C1493" s="2" t="s">
        <v>2114</v>
      </c>
      <c r="D1493" s="1" t="s">
        <v>2118</v>
      </c>
      <c r="E1493">
        <v>540</v>
      </c>
      <c r="F1493">
        <f t="shared" si="16"/>
        <v>600</v>
      </c>
      <c r="G1493">
        <v>700</v>
      </c>
      <c r="H1493">
        <v>1150</v>
      </c>
    </row>
    <row r="1494" spans="1:8" x14ac:dyDescent="0.25">
      <c r="A1494" s="10">
        <v>2110</v>
      </c>
      <c r="B1494" s="1" t="s">
        <v>2117</v>
      </c>
      <c r="C1494" s="2" t="s">
        <v>2115</v>
      </c>
      <c r="D1494" s="1" t="s">
        <v>2118</v>
      </c>
      <c r="E1494">
        <v>540</v>
      </c>
      <c r="F1494">
        <f t="shared" si="16"/>
        <v>600</v>
      </c>
      <c r="G1494">
        <v>700</v>
      </c>
      <c r="H1494">
        <v>1150</v>
      </c>
    </row>
    <row r="1495" spans="1:8" x14ac:dyDescent="0.25">
      <c r="A1495" s="10">
        <v>2111</v>
      </c>
      <c r="B1495" s="1" t="s">
        <v>2117</v>
      </c>
      <c r="C1495" s="2" t="s">
        <v>2116</v>
      </c>
      <c r="D1495" s="1" t="s">
        <v>2118</v>
      </c>
    </row>
    <row r="1496" spans="1:8" x14ac:dyDescent="0.25">
      <c r="C1496" s="5"/>
    </row>
    <row r="1497" spans="1:8" x14ac:dyDescent="0.25">
      <c r="A1497" s="10">
        <v>2112</v>
      </c>
      <c r="B1497" s="1" t="s">
        <v>2127</v>
      </c>
      <c r="C1497" s="2" t="s">
        <v>2124</v>
      </c>
      <c r="D1497" s="1" t="s">
        <v>2123</v>
      </c>
      <c r="E1497">
        <v>3756</v>
      </c>
      <c r="F1497">
        <f t="shared" si="16"/>
        <v>4100</v>
      </c>
      <c r="G1497">
        <v>4200</v>
      </c>
      <c r="H1497">
        <v>6660</v>
      </c>
    </row>
    <row r="1498" spans="1:8" x14ac:dyDescent="0.25">
      <c r="A1498" s="10">
        <v>2113</v>
      </c>
      <c r="B1498" s="1" t="s">
        <v>2127</v>
      </c>
      <c r="C1498" s="2" t="s">
        <v>2125</v>
      </c>
      <c r="D1498" s="1" t="s">
        <v>2123</v>
      </c>
      <c r="E1498">
        <v>1580</v>
      </c>
      <c r="F1498">
        <f t="shared" si="16"/>
        <v>1900</v>
      </c>
      <c r="G1498">
        <v>2000</v>
      </c>
      <c r="H1498">
        <v>2810</v>
      </c>
    </row>
    <row r="1499" spans="1:8" x14ac:dyDescent="0.25">
      <c r="A1499" s="10">
        <v>2114</v>
      </c>
      <c r="B1499" s="1" t="s">
        <v>2127</v>
      </c>
      <c r="C1499" s="2" t="s">
        <v>2126</v>
      </c>
      <c r="D1499" s="1" t="s">
        <v>2123</v>
      </c>
      <c r="E1499">
        <v>708</v>
      </c>
      <c r="F1499">
        <f t="shared" si="16"/>
        <v>800</v>
      </c>
      <c r="G1499">
        <v>900</v>
      </c>
      <c r="H1499">
        <v>1180</v>
      </c>
    </row>
    <row r="1500" spans="1:8" x14ac:dyDescent="0.25">
      <c r="A1500" s="10">
        <v>2115</v>
      </c>
      <c r="B1500" s="1" t="s">
        <v>2127</v>
      </c>
      <c r="C1500" s="2" t="s">
        <v>2128</v>
      </c>
      <c r="D1500" s="1" t="s">
        <v>2123</v>
      </c>
      <c r="E1500">
        <v>420</v>
      </c>
      <c r="F1500">
        <f t="shared" si="16"/>
        <v>500</v>
      </c>
      <c r="G1500">
        <v>600</v>
      </c>
      <c r="H1500">
        <v>695</v>
      </c>
    </row>
    <row r="1501" spans="1:8" x14ac:dyDescent="0.25">
      <c r="A1501" s="10">
        <v>2116</v>
      </c>
      <c r="B1501" s="1" t="s">
        <v>2127</v>
      </c>
      <c r="C1501" s="2" t="s">
        <v>2129</v>
      </c>
      <c r="D1501" s="1" t="s">
        <v>2123</v>
      </c>
      <c r="E1501">
        <v>170</v>
      </c>
      <c r="F1501">
        <f t="shared" si="16"/>
        <v>180</v>
      </c>
      <c r="G1501">
        <v>280</v>
      </c>
      <c r="H1501">
        <v>295</v>
      </c>
    </row>
    <row r="1502" spans="1:8" x14ac:dyDescent="0.25">
      <c r="C1502" s="5"/>
    </row>
    <row r="1503" spans="1:8" x14ac:dyDescent="0.25">
      <c r="A1503" s="10">
        <v>2117</v>
      </c>
      <c r="B1503" s="1" t="s">
        <v>2139</v>
      </c>
      <c r="C1503" s="2" t="s">
        <v>2135</v>
      </c>
      <c r="D1503" s="1" t="s">
        <v>2138</v>
      </c>
      <c r="E1503">
        <v>1697</v>
      </c>
      <c r="F1503">
        <v>1700</v>
      </c>
      <c r="G1503">
        <v>1900</v>
      </c>
      <c r="H1503">
        <v>3770</v>
      </c>
    </row>
    <row r="1504" spans="1:8" x14ac:dyDescent="0.25">
      <c r="A1504" s="10">
        <v>2118</v>
      </c>
      <c r="B1504" s="1" t="s">
        <v>2139</v>
      </c>
      <c r="C1504" s="2" t="s">
        <v>2136</v>
      </c>
      <c r="D1504" s="1" t="s">
        <v>2138</v>
      </c>
      <c r="E1504">
        <v>5337</v>
      </c>
      <c r="F1504">
        <v>6800</v>
      </c>
      <c r="G1504">
        <v>7500</v>
      </c>
      <c r="H1504">
        <v>11860</v>
      </c>
    </row>
    <row r="1505" spans="1:8" x14ac:dyDescent="0.25">
      <c r="A1505" s="10">
        <v>2119</v>
      </c>
      <c r="B1505" s="1" t="s">
        <v>2139</v>
      </c>
      <c r="C1505" s="2" t="s">
        <v>2137</v>
      </c>
      <c r="D1505" s="1" t="s">
        <v>2138</v>
      </c>
      <c r="E1505">
        <v>14998</v>
      </c>
      <c r="F1505">
        <v>16700</v>
      </c>
      <c r="G1505">
        <v>18500</v>
      </c>
      <c r="H1505">
        <v>33330</v>
      </c>
    </row>
    <row r="1506" spans="1:8" x14ac:dyDescent="0.25">
      <c r="C1506" s="5"/>
    </row>
    <row r="1507" spans="1:8" x14ac:dyDescent="0.25">
      <c r="A1507" s="10">
        <v>2120</v>
      </c>
      <c r="B1507" s="1" t="s">
        <v>2144</v>
      </c>
      <c r="C1507" s="2" t="s">
        <v>2140</v>
      </c>
      <c r="D1507" s="1" t="s">
        <v>2143</v>
      </c>
      <c r="E1507">
        <v>4357</v>
      </c>
      <c r="F1507">
        <v>5200</v>
      </c>
      <c r="G1507">
        <v>5300</v>
      </c>
      <c r="H1507">
        <v>10490</v>
      </c>
    </row>
    <row r="1508" spans="1:8" x14ac:dyDescent="0.25">
      <c r="A1508" s="10">
        <v>2121</v>
      </c>
      <c r="B1508" s="1" t="s">
        <v>2144</v>
      </c>
      <c r="C1508" s="2" t="s">
        <v>2141</v>
      </c>
      <c r="D1508" s="1" t="s">
        <v>2143</v>
      </c>
      <c r="E1508">
        <v>7668</v>
      </c>
      <c r="F1508">
        <v>9200</v>
      </c>
      <c r="G1508">
        <v>9500</v>
      </c>
      <c r="H1508">
        <v>18460</v>
      </c>
    </row>
    <row r="1509" spans="1:8" x14ac:dyDescent="0.25">
      <c r="A1509" s="10">
        <v>2122</v>
      </c>
      <c r="B1509" s="1" t="s">
        <v>2144</v>
      </c>
      <c r="C1509" s="2" t="s">
        <v>2142</v>
      </c>
      <c r="D1509" s="1" t="s">
        <v>2143</v>
      </c>
      <c r="E1509">
        <v>13633</v>
      </c>
      <c r="F1509">
        <v>16200</v>
      </c>
      <c r="G1509">
        <v>16500</v>
      </c>
      <c r="H1509">
        <v>32820</v>
      </c>
    </row>
    <row r="1510" spans="1:8" x14ac:dyDescent="0.25">
      <c r="C1510" s="5"/>
    </row>
    <row r="1511" spans="1:8" x14ac:dyDescent="0.25">
      <c r="A1511" s="10">
        <v>2123</v>
      </c>
      <c r="B1511" s="1" t="s">
        <v>2144</v>
      </c>
      <c r="C1511" s="2" t="s">
        <v>2145</v>
      </c>
      <c r="D1511" s="1" t="s">
        <v>2148</v>
      </c>
      <c r="E1511">
        <v>1605</v>
      </c>
      <c r="F1511">
        <v>2000</v>
      </c>
      <c r="G1511">
        <v>2200</v>
      </c>
      <c r="H1511">
        <v>4010</v>
      </c>
    </row>
    <row r="1512" spans="1:8" x14ac:dyDescent="0.25">
      <c r="A1512" s="10">
        <v>2124</v>
      </c>
      <c r="B1512" s="1" t="s">
        <v>2144</v>
      </c>
      <c r="C1512" s="2" t="s">
        <v>2146</v>
      </c>
      <c r="D1512" s="1" t="s">
        <v>2148</v>
      </c>
      <c r="E1512">
        <v>5804</v>
      </c>
      <c r="F1512">
        <v>7000</v>
      </c>
      <c r="G1512">
        <v>7500</v>
      </c>
      <c r="H1512">
        <v>14510</v>
      </c>
    </row>
    <row r="1513" spans="1:8" x14ac:dyDescent="0.25">
      <c r="A1513" s="10">
        <v>2125</v>
      </c>
      <c r="B1513" s="1" t="s">
        <v>2144</v>
      </c>
      <c r="C1513" s="2" t="s">
        <v>2147</v>
      </c>
      <c r="D1513" s="1" t="s">
        <v>2148</v>
      </c>
      <c r="E1513">
        <v>14032</v>
      </c>
      <c r="F1513">
        <v>17000</v>
      </c>
      <c r="G1513">
        <v>17500</v>
      </c>
      <c r="H1513">
        <v>35080</v>
      </c>
    </row>
    <row r="1514" spans="1:8" x14ac:dyDescent="0.25">
      <c r="C1514" s="5"/>
    </row>
    <row r="1515" spans="1:8" x14ac:dyDescent="0.25">
      <c r="A1515" s="10">
        <v>2126</v>
      </c>
      <c r="B1515" s="1" t="s">
        <v>2210</v>
      </c>
      <c r="C1515" s="2" t="s">
        <v>2211</v>
      </c>
      <c r="D1515" s="1" t="s">
        <v>2209</v>
      </c>
      <c r="E1515">
        <v>1590</v>
      </c>
      <c r="F1515">
        <f>SUM(G1515-200)</f>
        <v>1800</v>
      </c>
      <c r="G1515">
        <v>2000</v>
      </c>
      <c r="H1515">
        <v>3975</v>
      </c>
    </row>
    <row r="1516" spans="1:8" x14ac:dyDescent="0.25">
      <c r="A1516" s="10">
        <v>2127</v>
      </c>
      <c r="B1516" s="1" t="s">
        <v>2210</v>
      </c>
      <c r="C1516" s="2" t="s">
        <v>2212</v>
      </c>
      <c r="D1516" s="1" t="s">
        <v>2209</v>
      </c>
      <c r="E1516">
        <v>2370</v>
      </c>
      <c r="F1516">
        <f t="shared" ref="F1516:F1530" si="17">SUM(G1516-200)</f>
        <v>2600</v>
      </c>
      <c r="G1516">
        <v>2800</v>
      </c>
      <c r="H1516">
        <v>4200</v>
      </c>
    </row>
    <row r="1517" spans="1:8" x14ac:dyDescent="0.25">
      <c r="A1517" s="10">
        <v>2128</v>
      </c>
      <c r="B1517" s="1" t="s">
        <v>2210</v>
      </c>
      <c r="C1517" s="2" t="s">
        <v>2213</v>
      </c>
      <c r="D1517" s="1" t="s">
        <v>2209</v>
      </c>
      <c r="E1517">
        <v>1800</v>
      </c>
      <c r="F1517">
        <f t="shared" si="17"/>
        <v>2000</v>
      </c>
      <c r="G1517">
        <v>2200</v>
      </c>
      <c r="H1517">
        <v>4190</v>
      </c>
    </row>
    <row r="1518" spans="1:8" x14ac:dyDescent="0.25">
      <c r="A1518" s="10">
        <v>2129</v>
      </c>
      <c r="B1518" s="1" t="s">
        <v>2210</v>
      </c>
      <c r="C1518" s="2" t="s">
        <v>2214</v>
      </c>
      <c r="D1518" s="1" t="s">
        <v>2209</v>
      </c>
      <c r="E1518">
        <v>1530</v>
      </c>
      <c r="F1518">
        <f t="shared" si="17"/>
        <v>1650</v>
      </c>
      <c r="G1518">
        <v>1850</v>
      </c>
      <c r="H1518">
        <v>2710</v>
      </c>
    </row>
    <row r="1519" spans="1:8" x14ac:dyDescent="0.25">
      <c r="A1519" s="10">
        <v>2130</v>
      </c>
      <c r="B1519" s="1" t="s">
        <v>2210</v>
      </c>
      <c r="C1519" s="2" t="s">
        <v>2215</v>
      </c>
      <c r="D1519" s="1" t="s">
        <v>2209</v>
      </c>
      <c r="E1519">
        <v>1300</v>
      </c>
      <c r="F1519">
        <f t="shared" si="17"/>
        <v>1600</v>
      </c>
      <c r="G1519">
        <v>1800</v>
      </c>
      <c r="H1519">
        <v>2170</v>
      </c>
    </row>
    <row r="1520" spans="1:8" x14ac:dyDescent="0.25">
      <c r="A1520" s="10">
        <v>2131</v>
      </c>
      <c r="B1520" s="1" t="s">
        <v>2210</v>
      </c>
      <c r="C1520" s="2" t="s">
        <v>2216</v>
      </c>
      <c r="D1520" s="1" t="s">
        <v>2209</v>
      </c>
      <c r="E1520">
        <v>1606</v>
      </c>
      <c r="F1520">
        <f t="shared" si="17"/>
        <v>1800</v>
      </c>
      <c r="G1520">
        <v>2000</v>
      </c>
      <c r="H1520">
        <v>3975</v>
      </c>
    </row>
    <row r="1521" spans="1:8" x14ac:dyDescent="0.25">
      <c r="A1521" s="10">
        <v>2132</v>
      </c>
      <c r="B1521" s="1" t="s">
        <v>2210</v>
      </c>
      <c r="C1521" s="2" t="s">
        <v>2217</v>
      </c>
      <c r="D1521" s="1" t="s">
        <v>2209</v>
      </c>
      <c r="E1521">
        <v>1790</v>
      </c>
      <c r="F1521">
        <f t="shared" si="17"/>
        <v>1800</v>
      </c>
      <c r="G1521">
        <v>2000</v>
      </c>
      <c r="H1521">
        <v>3180</v>
      </c>
    </row>
    <row r="1522" spans="1:8" x14ac:dyDescent="0.25">
      <c r="A1522" s="10">
        <v>2133</v>
      </c>
      <c r="B1522" s="1" t="s">
        <v>2210</v>
      </c>
      <c r="C1522" s="2" t="s">
        <v>2218</v>
      </c>
      <c r="D1522" s="1" t="s">
        <v>2209</v>
      </c>
      <c r="E1522">
        <v>1590</v>
      </c>
      <c r="F1522">
        <f t="shared" si="17"/>
        <v>1800</v>
      </c>
      <c r="G1522">
        <v>2000</v>
      </c>
      <c r="H1522">
        <v>3975</v>
      </c>
    </row>
    <row r="1523" spans="1:8" x14ac:dyDescent="0.25">
      <c r="A1523" s="10">
        <v>2134</v>
      </c>
      <c r="B1523" s="1" t="s">
        <v>2210</v>
      </c>
      <c r="C1523" s="2" t="s">
        <v>2219</v>
      </c>
      <c r="D1523" s="1" t="s">
        <v>2209</v>
      </c>
      <c r="E1523">
        <v>1590</v>
      </c>
      <c r="F1523">
        <f t="shared" si="17"/>
        <v>1800</v>
      </c>
      <c r="G1523">
        <v>2000</v>
      </c>
      <c r="H1523">
        <v>3975</v>
      </c>
    </row>
    <row r="1524" spans="1:8" x14ac:dyDescent="0.25">
      <c r="A1524" s="10">
        <v>2135</v>
      </c>
      <c r="B1524" s="1" t="s">
        <v>2210</v>
      </c>
      <c r="C1524" s="2" t="s">
        <v>2220</v>
      </c>
      <c r="D1524" s="1" t="s">
        <v>2209</v>
      </c>
      <c r="E1524">
        <v>1590</v>
      </c>
      <c r="F1524">
        <f t="shared" si="17"/>
        <v>1800</v>
      </c>
      <c r="G1524">
        <v>2000</v>
      </c>
      <c r="H1524">
        <v>3975</v>
      </c>
    </row>
    <row r="1525" spans="1:8" x14ac:dyDescent="0.25">
      <c r="A1525" s="10">
        <v>2136</v>
      </c>
      <c r="B1525" s="1" t="s">
        <v>2210</v>
      </c>
      <c r="C1525" s="2" t="s">
        <v>2221</v>
      </c>
      <c r="D1525" s="1" t="s">
        <v>2209</v>
      </c>
      <c r="E1525">
        <v>1590</v>
      </c>
      <c r="F1525">
        <f t="shared" si="17"/>
        <v>1800</v>
      </c>
      <c r="G1525">
        <v>2000</v>
      </c>
      <c r="H1525">
        <v>3975</v>
      </c>
    </row>
    <row r="1526" spans="1:8" x14ac:dyDescent="0.25">
      <c r="A1526" s="10">
        <v>2137</v>
      </c>
      <c r="B1526" s="1" t="s">
        <v>2210</v>
      </c>
      <c r="C1526" s="2" t="s">
        <v>2222</v>
      </c>
      <c r="D1526" s="1" t="s">
        <v>2209</v>
      </c>
      <c r="E1526">
        <v>1500</v>
      </c>
      <c r="F1526">
        <f t="shared" si="17"/>
        <v>1700</v>
      </c>
      <c r="G1526">
        <v>1900</v>
      </c>
      <c r="H1526">
        <v>2660</v>
      </c>
    </row>
    <row r="1527" spans="1:8" x14ac:dyDescent="0.25">
      <c r="A1527" s="10">
        <v>2138</v>
      </c>
      <c r="B1527" s="1" t="s">
        <v>2210</v>
      </c>
      <c r="C1527" s="2" t="s">
        <v>2223</v>
      </c>
      <c r="D1527" s="1" t="s">
        <v>2209</v>
      </c>
      <c r="E1527">
        <v>1590</v>
      </c>
      <c r="F1527">
        <f t="shared" si="17"/>
        <v>1800</v>
      </c>
      <c r="G1527">
        <v>2000</v>
      </c>
      <c r="H1527">
        <v>3975</v>
      </c>
    </row>
    <row r="1528" spans="1:8" x14ac:dyDescent="0.25">
      <c r="A1528" s="10">
        <v>2139</v>
      </c>
      <c r="B1528" s="1" t="s">
        <v>2210</v>
      </c>
      <c r="C1528" s="2" t="s">
        <v>2333</v>
      </c>
      <c r="D1528" s="1" t="s">
        <v>2209</v>
      </c>
      <c r="E1528">
        <v>1590</v>
      </c>
      <c r="F1528">
        <f t="shared" si="17"/>
        <v>1800</v>
      </c>
      <c r="G1528">
        <v>2000</v>
      </c>
      <c r="H1528">
        <v>3975</v>
      </c>
    </row>
    <row r="1529" spans="1:8" x14ac:dyDescent="0.25">
      <c r="A1529" s="10">
        <v>2140</v>
      </c>
      <c r="B1529" s="1" t="s">
        <v>2210</v>
      </c>
      <c r="C1529" s="2" t="s">
        <v>2346</v>
      </c>
      <c r="D1529" s="1" t="s">
        <v>2209</v>
      </c>
      <c r="E1529">
        <v>1590</v>
      </c>
      <c r="F1529">
        <f t="shared" si="17"/>
        <v>1800</v>
      </c>
      <c r="G1529">
        <v>2000</v>
      </c>
      <c r="H1529">
        <v>3975</v>
      </c>
    </row>
    <row r="1530" spans="1:8" x14ac:dyDescent="0.25">
      <c r="A1530" s="10">
        <v>2141</v>
      </c>
      <c r="B1530" s="1" t="s">
        <v>2210</v>
      </c>
      <c r="C1530" s="2" t="s">
        <v>2224</v>
      </c>
      <c r="D1530" s="1" t="s">
        <v>2209</v>
      </c>
      <c r="E1530">
        <v>1590</v>
      </c>
      <c r="F1530">
        <f t="shared" si="17"/>
        <v>1800</v>
      </c>
      <c r="G1530">
        <v>2000</v>
      </c>
      <c r="H1530">
        <v>3975</v>
      </c>
    </row>
    <row r="1531" spans="1:8" x14ac:dyDescent="0.25">
      <c r="C1531" s="5"/>
    </row>
    <row r="1532" spans="1:8" x14ac:dyDescent="0.25">
      <c r="A1532" s="10">
        <v>2142</v>
      </c>
      <c r="B1532" s="1" t="s">
        <v>2210</v>
      </c>
      <c r="C1532" s="2" t="s">
        <v>2225</v>
      </c>
      <c r="D1532" s="1" t="s">
        <v>2209</v>
      </c>
      <c r="E1532">
        <v>913</v>
      </c>
      <c r="F1532">
        <v>950</v>
      </c>
      <c r="G1532">
        <v>1000</v>
      </c>
      <c r="H1532">
        <v>1620</v>
      </c>
    </row>
    <row r="1533" spans="1:8" x14ac:dyDescent="0.25">
      <c r="A1533" s="10">
        <v>2143</v>
      </c>
      <c r="B1533" s="1" t="s">
        <v>2210</v>
      </c>
      <c r="C1533" s="2" t="s">
        <v>2226</v>
      </c>
      <c r="D1533" s="1" t="s">
        <v>2209</v>
      </c>
    </row>
    <row r="1534" spans="1:8" x14ac:dyDescent="0.25">
      <c r="A1534" s="10">
        <v>2144</v>
      </c>
      <c r="B1534" s="1" t="s">
        <v>2210</v>
      </c>
      <c r="C1534" s="2" t="s">
        <v>2227</v>
      </c>
      <c r="D1534" s="1" t="s">
        <v>2209</v>
      </c>
      <c r="E1534">
        <v>1160</v>
      </c>
      <c r="F1534">
        <f>SUM(E1534+50)</f>
        <v>1210</v>
      </c>
      <c r="G1534">
        <v>1350</v>
      </c>
      <c r="H1534">
        <v>2060</v>
      </c>
    </row>
    <row r="1535" spans="1:8" x14ac:dyDescent="0.25">
      <c r="A1535" s="10">
        <v>2145</v>
      </c>
      <c r="B1535" s="1" t="s">
        <v>2210</v>
      </c>
      <c r="C1535" s="2" t="s">
        <v>2228</v>
      </c>
      <c r="D1535" s="1" t="s">
        <v>2209</v>
      </c>
      <c r="E1535">
        <v>1015</v>
      </c>
      <c r="F1535">
        <f t="shared" ref="F1535:F1544" si="18">SUM(E1535+50)</f>
        <v>1065</v>
      </c>
      <c r="G1535">
        <v>1100</v>
      </c>
      <c r="H1535">
        <v>1800</v>
      </c>
    </row>
    <row r="1536" spans="1:8" x14ac:dyDescent="0.25">
      <c r="A1536" s="10">
        <v>2146</v>
      </c>
      <c r="B1536" s="1" t="s">
        <v>2210</v>
      </c>
      <c r="C1536" s="2" t="s">
        <v>2229</v>
      </c>
      <c r="D1536" s="1" t="s">
        <v>2209</v>
      </c>
      <c r="E1536">
        <v>828</v>
      </c>
      <c r="F1536">
        <f t="shared" si="18"/>
        <v>878</v>
      </c>
      <c r="G1536">
        <v>1000</v>
      </c>
      <c r="H1536">
        <v>2050</v>
      </c>
    </row>
    <row r="1537" spans="1:8" x14ac:dyDescent="0.25">
      <c r="A1537" s="10">
        <v>2147</v>
      </c>
      <c r="B1537" s="1" t="s">
        <v>2210</v>
      </c>
      <c r="C1537" s="2" t="s">
        <v>2230</v>
      </c>
      <c r="D1537" s="1" t="s">
        <v>2209</v>
      </c>
      <c r="E1537">
        <v>828</v>
      </c>
      <c r="F1537">
        <f t="shared" si="18"/>
        <v>878</v>
      </c>
      <c r="G1537">
        <v>1000</v>
      </c>
      <c r="H1537">
        <v>2050</v>
      </c>
    </row>
    <row r="1538" spans="1:8" x14ac:dyDescent="0.25">
      <c r="A1538" s="10">
        <v>2148</v>
      </c>
      <c r="B1538" s="1" t="s">
        <v>2210</v>
      </c>
      <c r="C1538" s="2" t="s">
        <v>2231</v>
      </c>
      <c r="D1538" s="1" t="s">
        <v>2209</v>
      </c>
      <c r="E1538">
        <v>913</v>
      </c>
      <c r="F1538">
        <f t="shared" si="18"/>
        <v>963</v>
      </c>
      <c r="G1538">
        <v>1100</v>
      </c>
      <c r="H1538">
        <v>1620</v>
      </c>
    </row>
    <row r="1539" spans="1:8" x14ac:dyDescent="0.25">
      <c r="A1539" s="10">
        <v>2149</v>
      </c>
      <c r="B1539" s="1" t="s">
        <v>2210</v>
      </c>
      <c r="C1539" s="2" t="s">
        <v>2232</v>
      </c>
      <c r="D1539" s="1" t="s">
        <v>2209</v>
      </c>
      <c r="E1539">
        <v>828</v>
      </c>
      <c r="F1539">
        <f t="shared" si="18"/>
        <v>878</v>
      </c>
      <c r="G1539">
        <v>1000</v>
      </c>
      <c r="H1539">
        <v>2025</v>
      </c>
    </row>
    <row r="1540" spans="1:8" x14ac:dyDescent="0.25">
      <c r="A1540" s="10">
        <v>2150</v>
      </c>
      <c r="B1540" s="1" t="s">
        <v>2210</v>
      </c>
      <c r="C1540" s="2" t="s">
        <v>2233</v>
      </c>
      <c r="D1540" s="1" t="s">
        <v>2209</v>
      </c>
      <c r="E1540">
        <v>828</v>
      </c>
      <c r="F1540">
        <f t="shared" si="18"/>
        <v>878</v>
      </c>
      <c r="G1540">
        <v>1000</v>
      </c>
      <c r="H1540">
        <v>2025</v>
      </c>
    </row>
    <row r="1541" spans="1:8" x14ac:dyDescent="0.25">
      <c r="A1541" s="10">
        <v>2151</v>
      </c>
      <c r="B1541" s="1" t="s">
        <v>2210</v>
      </c>
      <c r="C1541" s="2" t="s">
        <v>2234</v>
      </c>
      <c r="D1541" s="1" t="s">
        <v>2209</v>
      </c>
      <c r="E1541">
        <v>900</v>
      </c>
      <c r="F1541">
        <f t="shared" si="18"/>
        <v>950</v>
      </c>
      <c r="G1541">
        <v>1300</v>
      </c>
      <c r="H1541">
        <v>2350</v>
      </c>
    </row>
    <row r="1542" spans="1:8" x14ac:dyDescent="0.25">
      <c r="A1542" s="10">
        <v>2152</v>
      </c>
      <c r="B1542" s="1" t="s">
        <v>2210</v>
      </c>
      <c r="C1542" s="2" t="s">
        <v>2345</v>
      </c>
      <c r="D1542" s="1" t="s">
        <v>2209</v>
      </c>
      <c r="E1542">
        <v>828</v>
      </c>
      <c r="F1542">
        <f t="shared" si="18"/>
        <v>878</v>
      </c>
      <c r="G1542">
        <v>1000</v>
      </c>
      <c r="H1542">
        <v>2025</v>
      </c>
    </row>
    <row r="1543" spans="1:8" x14ac:dyDescent="0.25">
      <c r="A1543" s="10">
        <v>2153</v>
      </c>
      <c r="B1543" s="1" t="s">
        <v>2210</v>
      </c>
      <c r="C1543" s="2" t="s">
        <v>2235</v>
      </c>
      <c r="D1543" s="1" t="s">
        <v>2209</v>
      </c>
      <c r="E1543">
        <v>828</v>
      </c>
      <c r="F1543">
        <f t="shared" si="18"/>
        <v>878</v>
      </c>
      <c r="G1543">
        <v>1000</v>
      </c>
      <c r="H1543">
        <v>2050</v>
      </c>
    </row>
    <row r="1544" spans="1:8" x14ac:dyDescent="0.25">
      <c r="A1544" s="10">
        <v>2154</v>
      </c>
      <c r="B1544" s="1" t="s">
        <v>2210</v>
      </c>
      <c r="C1544" s="2" t="s">
        <v>2236</v>
      </c>
      <c r="D1544" s="1" t="s">
        <v>2209</v>
      </c>
      <c r="E1544">
        <v>913</v>
      </c>
      <c r="F1544">
        <f t="shared" si="18"/>
        <v>963</v>
      </c>
      <c r="G1544">
        <v>1100</v>
      </c>
      <c r="H1544">
        <v>1620</v>
      </c>
    </row>
    <row r="1545" spans="1:8" x14ac:dyDescent="0.25">
      <c r="A1545" s="10">
        <v>2155</v>
      </c>
      <c r="B1545" s="1" t="s">
        <v>2210</v>
      </c>
      <c r="C1545" s="2" t="s">
        <v>2237</v>
      </c>
      <c r="D1545" s="1" t="s">
        <v>2209</v>
      </c>
    </row>
    <row r="1546" spans="1:8" x14ac:dyDescent="0.25">
      <c r="C1546" s="5"/>
    </row>
    <row r="1547" spans="1:8" x14ac:dyDescent="0.25">
      <c r="C1547" s="5"/>
    </row>
    <row r="1548" spans="1:8" x14ac:dyDescent="0.25">
      <c r="A1548" s="10">
        <v>2156</v>
      </c>
      <c r="B1548" s="1" t="s">
        <v>2241</v>
      </c>
      <c r="C1548" s="2" t="s">
        <v>2243</v>
      </c>
      <c r="D1548" s="1" t="s">
        <v>2209</v>
      </c>
      <c r="E1548">
        <v>1720</v>
      </c>
      <c r="F1548">
        <f>SUM(E1548+70)</f>
        <v>1790</v>
      </c>
      <c r="G1548">
        <v>2000</v>
      </c>
      <c r="H1548">
        <v>3050</v>
      </c>
    </row>
    <row r="1549" spans="1:8" x14ac:dyDescent="0.25">
      <c r="A1549" s="10">
        <v>2157</v>
      </c>
      <c r="B1549" s="1" t="s">
        <v>2241</v>
      </c>
      <c r="C1549" s="2" t="s">
        <v>2244</v>
      </c>
      <c r="D1549" s="1" t="s">
        <v>2209</v>
      </c>
      <c r="E1549">
        <v>1720</v>
      </c>
      <c r="F1549">
        <f t="shared" ref="F1549:F1560" si="19">SUM(E1549+70)</f>
        <v>1790</v>
      </c>
      <c r="G1549">
        <v>2000</v>
      </c>
      <c r="H1549">
        <v>3050</v>
      </c>
    </row>
    <row r="1550" spans="1:8" x14ac:dyDescent="0.25">
      <c r="A1550" s="10">
        <v>2158</v>
      </c>
      <c r="B1550" s="1" t="s">
        <v>2241</v>
      </c>
      <c r="C1550" s="2" t="s">
        <v>2245</v>
      </c>
      <c r="D1550" s="1" t="s">
        <v>2209</v>
      </c>
      <c r="E1550">
        <v>1720</v>
      </c>
      <c r="F1550">
        <f t="shared" si="19"/>
        <v>1790</v>
      </c>
      <c r="G1550">
        <v>2000</v>
      </c>
      <c r="H1550">
        <v>3050</v>
      </c>
    </row>
    <row r="1551" spans="1:8" x14ac:dyDescent="0.25">
      <c r="A1551" s="10">
        <v>2159</v>
      </c>
      <c r="B1551" s="1" t="s">
        <v>2241</v>
      </c>
      <c r="C1551" s="2" t="s">
        <v>2249</v>
      </c>
      <c r="D1551" s="1" t="s">
        <v>2209</v>
      </c>
      <c r="E1551">
        <v>820</v>
      </c>
      <c r="F1551">
        <f t="shared" si="19"/>
        <v>890</v>
      </c>
      <c r="G1551">
        <v>1000</v>
      </c>
      <c r="H1551">
        <v>2060</v>
      </c>
    </row>
    <row r="1552" spans="1:8" x14ac:dyDescent="0.25">
      <c r="A1552" s="10">
        <v>2160</v>
      </c>
      <c r="B1552" s="1" t="s">
        <v>2241</v>
      </c>
      <c r="C1552" s="2" t="s">
        <v>2250</v>
      </c>
      <c r="D1552" s="1" t="s">
        <v>2209</v>
      </c>
      <c r="E1552">
        <v>812</v>
      </c>
      <c r="F1552">
        <f t="shared" si="19"/>
        <v>882</v>
      </c>
      <c r="G1552">
        <v>1000</v>
      </c>
      <c r="H1552">
        <v>2010</v>
      </c>
    </row>
    <row r="1553" spans="1:8" x14ac:dyDescent="0.25">
      <c r="A1553" s="10">
        <v>2161</v>
      </c>
      <c r="B1553" s="1" t="s">
        <v>2241</v>
      </c>
      <c r="C1553" s="2" t="s">
        <v>2251</v>
      </c>
      <c r="D1553" s="1" t="s">
        <v>2209</v>
      </c>
      <c r="E1553">
        <v>812</v>
      </c>
      <c r="F1553">
        <f t="shared" si="19"/>
        <v>882</v>
      </c>
      <c r="G1553">
        <v>1000</v>
      </c>
      <c r="H1553">
        <v>2010</v>
      </c>
    </row>
    <row r="1554" spans="1:8" x14ac:dyDescent="0.25">
      <c r="C1554" s="5"/>
    </row>
    <row r="1555" spans="1:8" x14ac:dyDescent="0.25">
      <c r="A1555" s="10">
        <v>2162</v>
      </c>
      <c r="B1555" s="1" t="s">
        <v>2242</v>
      </c>
      <c r="C1555" s="2" t="s">
        <v>2246</v>
      </c>
      <c r="D1555" s="1" t="s">
        <v>2209</v>
      </c>
      <c r="E1555">
        <v>2044</v>
      </c>
      <c r="F1555">
        <f t="shared" si="19"/>
        <v>2114</v>
      </c>
      <c r="G1555">
        <v>2300</v>
      </c>
      <c r="H1555">
        <v>4350</v>
      </c>
    </row>
    <row r="1556" spans="1:8" x14ac:dyDescent="0.25">
      <c r="A1556" s="10">
        <v>2163</v>
      </c>
      <c r="B1556" s="1" t="s">
        <v>2242</v>
      </c>
      <c r="C1556" s="2" t="s">
        <v>2247</v>
      </c>
      <c r="D1556" s="1" t="s">
        <v>2209</v>
      </c>
      <c r="E1556">
        <v>2044</v>
      </c>
      <c r="F1556">
        <f t="shared" si="19"/>
        <v>2114</v>
      </c>
      <c r="G1556">
        <v>2300</v>
      </c>
      <c r="H1556">
        <v>4350</v>
      </c>
    </row>
    <row r="1557" spans="1:8" x14ac:dyDescent="0.25">
      <c r="A1557" s="10">
        <v>2164</v>
      </c>
      <c r="B1557" s="1" t="s">
        <v>2242</v>
      </c>
      <c r="C1557" s="2" t="s">
        <v>2248</v>
      </c>
      <c r="D1557" s="1" t="s">
        <v>2209</v>
      </c>
      <c r="E1557">
        <v>2044</v>
      </c>
      <c r="F1557">
        <f t="shared" si="19"/>
        <v>2114</v>
      </c>
      <c r="G1557">
        <v>2300</v>
      </c>
      <c r="H1557">
        <v>4350</v>
      </c>
    </row>
    <row r="1558" spans="1:8" x14ac:dyDescent="0.25">
      <c r="A1558" s="10">
        <v>2165</v>
      </c>
      <c r="B1558" s="1" t="s">
        <v>2242</v>
      </c>
      <c r="C1558" s="2" t="s">
        <v>2252</v>
      </c>
      <c r="D1558" s="1" t="s">
        <v>2209</v>
      </c>
      <c r="E1558">
        <v>1298</v>
      </c>
      <c r="F1558">
        <f t="shared" si="19"/>
        <v>1368</v>
      </c>
      <c r="G1558">
        <v>1400</v>
      </c>
      <c r="H1558">
        <v>2300</v>
      </c>
    </row>
    <row r="1559" spans="1:8" x14ac:dyDescent="0.25">
      <c r="A1559" s="10">
        <v>2166</v>
      </c>
      <c r="B1559" s="1" t="s">
        <v>2242</v>
      </c>
      <c r="C1559" s="2" t="s">
        <v>2253</v>
      </c>
      <c r="D1559" s="1" t="s">
        <v>2209</v>
      </c>
      <c r="E1559">
        <v>1298</v>
      </c>
      <c r="F1559">
        <f t="shared" si="19"/>
        <v>1368</v>
      </c>
      <c r="G1559">
        <v>1400</v>
      </c>
      <c r="H1559">
        <v>2300</v>
      </c>
    </row>
    <row r="1560" spans="1:8" x14ac:dyDescent="0.25">
      <c r="A1560" s="10">
        <v>2167</v>
      </c>
      <c r="B1560" s="1" t="s">
        <v>2242</v>
      </c>
      <c r="C1560" s="2" t="s">
        <v>2254</v>
      </c>
      <c r="D1560" s="1" t="s">
        <v>2209</v>
      </c>
      <c r="E1560">
        <v>1298</v>
      </c>
      <c r="F1560">
        <f t="shared" si="19"/>
        <v>1368</v>
      </c>
      <c r="G1560">
        <v>1400</v>
      </c>
      <c r="H1560">
        <v>2300</v>
      </c>
    </row>
    <row r="1561" spans="1:8" x14ac:dyDescent="0.25">
      <c r="C1561" s="5"/>
    </row>
    <row r="1562" spans="1:8" x14ac:dyDescent="0.25">
      <c r="A1562" s="10">
        <v>2168</v>
      </c>
      <c r="B1562" s="1" t="s">
        <v>2263</v>
      </c>
      <c r="C1562" s="2" t="s">
        <v>2255</v>
      </c>
      <c r="D1562" s="1" t="s">
        <v>2209</v>
      </c>
    </row>
    <row r="1563" spans="1:8" x14ac:dyDescent="0.25">
      <c r="A1563" s="10">
        <v>2169</v>
      </c>
      <c r="B1563" s="1" t="s">
        <v>2263</v>
      </c>
      <c r="C1563" s="2" t="s">
        <v>2256</v>
      </c>
      <c r="D1563" s="1" t="s">
        <v>2209</v>
      </c>
    </row>
    <row r="1564" spans="1:8" x14ac:dyDescent="0.25">
      <c r="A1564" s="10">
        <v>2170</v>
      </c>
      <c r="B1564" s="1" t="s">
        <v>2263</v>
      </c>
      <c r="C1564" s="2" t="s">
        <v>2257</v>
      </c>
      <c r="D1564" s="1" t="s">
        <v>2209</v>
      </c>
    </row>
    <row r="1565" spans="1:8" x14ac:dyDescent="0.25">
      <c r="A1565" s="10">
        <v>2171</v>
      </c>
      <c r="B1565" s="1" t="s">
        <v>2263</v>
      </c>
      <c r="C1565" s="2" t="s">
        <v>2258</v>
      </c>
      <c r="D1565" s="1" t="s">
        <v>2209</v>
      </c>
    </row>
    <row r="1566" spans="1:8" x14ac:dyDescent="0.25">
      <c r="C1566" s="5"/>
    </row>
    <row r="1567" spans="1:8" x14ac:dyDescent="0.25">
      <c r="A1567" s="10">
        <v>2172</v>
      </c>
      <c r="B1567" s="1" t="s">
        <v>2264</v>
      </c>
      <c r="C1567" s="2" t="s">
        <v>2259</v>
      </c>
      <c r="D1567" s="1" t="s">
        <v>2209</v>
      </c>
      <c r="E1567">
        <v>1760</v>
      </c>
      <c r="F1567">
        <v>1850</v>
      </c>
      <c r="G1567">
        <v>2000</v>
      </c>
      <c r="H1567">
        <v>2940</v>
      </c>
    </row>
    <row r="1568" spans="1:8" x14ac:dyDescent="0.25">
      <c r="A1568" s="10">
        <v>2173</v>
      </c>
      <c r="B1568" s="1" t="s">
        <v>2264</v>
      </c>
      <c r="C1568" s="2" t="s">
        <v>2260</v>
      </c>
      <c r="D1568" s="1" t="s">
        <v>2209</v>
      </c>
      <c r="E1568">
        <v>1760</v>
      </c>
      <c r="F1568">
        <v>1850</v>
      </c>
      <c r="G1568">
        <v>2000</v>
      </c>
      <c r="H1568">
        <v>2940</v>
      </c>
    </row>
    <row r="1569" spans="1:8" x14ac:dyDescent="0.25">
      <c r="A1569" s="10">
        <v>2174</v>
      </c>
      <c r="B1569" s="1" t="s">
        <v>2264</v>
      </c>
      <c r="C1569" s="2" t="s">
        <v>2261</v>
      </c>
      <c r="D1569" s="1" t="s">
        <v>2209</v>
      </c>
      <c r="E1569">
        <v>864</v>
      </c>
      <c r="F1569">
        <v>950</v>
      </c>
      <c r="G1569">
        <v>1000</v>
      </c>
      <c r="H1569">
        <v>2010</v>
      </c>
    </row>
    <row r="1570" spans="1:8" x14ac:dyDescent="0.25">
      <c r="A1570" s="10">
        <v>2175</v>
      </c>
      <c r="B1570" s="1" t="s">
        <v>2264</v>
      </c>
      <c r="C1570" s="2" t="s">
        <v>2262</v>
      </c>
      <c r="D1570" s="1" t="s">
        <v>2209</v>
      </c>
      <c r="E1570">
        <v>864</v>
      </c>
      <c r="F1570">
        <v>950</v>
      </c>
      <c r="G1570">
        <v>1000</v>
      </c>
      <c r="H1570">
        <v>2010</v>
      </c>
    </row>
    <row r="1571" spans="1:8" x14ac:dyDescent="0.25">
      <c r="C1571" s="5"/>
    </row>
    <row r="1572" spans="1:8" x14ac:dyDescent="0.25">
      <c r="A1572" s="10">
        <v>2176</v>
      </c>
      <c r="B1572" s="1" t="s">
        <v>2280</v>
      </c>
      <c r="C1572" s="2" t="s">
        <v>2265</v>
      </c>
      <c r="D1572" s="1" t="s">
        <v>2272</v>
      </c>
    </row>
    <row r="1573" spans="1:8" x14ac:dyDescent="0.25">
      <c r="A1573" s="10">
        <v>2177</v>
      </c>
      <c r="B1573" s="1" t="s">
        <v>2280</v>
      </c>
      <c r="C1573" s="2" t="s">
        <v>2266</v>
      </c>
      <c r="D1573" s="1" t="s">
        <v>2272</v>
      </c>
      <c r="E1573">
        <v>3828</v>
      </c>
      <c r="F1573">
        <v>3850</v>
      </c>
      <c r="G1573">
        <v>3900</v>
      </c>
      <c r="H1573">
        <v>6960</v>
      </c>
    </row>
    <row r="1574" spans="1:8" x14ac:dyDescent="0.25">
      <c r="A1574" s="10">
        <v>2178</v>
      </c>
      <c r="B1574" s="1" t="s">
        <v>2280</v>
      </c>
      <c r="C1574" s="2" t="s">
        <v>2267</v>
      </c>
      <c r="D1574" s="1" t="s">
        <v>2272</v>
      </c>
      <c r="E1574">
        <v>3828</v>
      </c>
      <c r="F1574">
        <v>3850</v>
      </c>
      <c r="G1574">
        <v>3900</v>
      </c>
      <c r="H1574">
        <v>6960</v>
      </c>
    </row>
    <row r="1575" spans="1:8" x14ac:dyDescent="0.25">
      <c r="A1575" s="10">
        <v>2179</v>
      </c>
      <c r="B1575" s="1" t="s">
        <v>2280</v>
      </c>
      <c r="C1575" s="2" t="s">
        <v>2268</v>
      </c>
      <c r="D1575" s="1" t="s">
        <v>2272</v>
      </c>
      <c r="E1575">
        <v>3338</v>
      </c>
      <c r="F1575">
        <v>3850</v>
      </c>
      <c r="G1575">
        <v>3700</v>
      </c>
      <c r="H1575">
        <v>5920</v>
      </c>
    </row>
    <row r="1576" spans="1:8" x14ac:dyDescent="0.25">
      <c r="A1576" s="10">
        <v>2180</v>
      </c>
      <c r="B1576" s="1" t="s">
        <v>2280</v>
      </c>
      <c r="C1576" s="2" t="s">
        <v>2269</v>
      </c>
      <c r="D1576" s="1" t="s">
        <v>2272</v>
      </c>
    </row>
    <row r="1577" spans="1:8" x14ac:dyDescent="0.25">
      <c r="A1577" s="10">
        <v>2181</v>
      </c>
      <c r="B1577" s="1" t="s">
        <v>2280</v>
      </c>
      <c r="C1577" s="2" t="s">
        <v>2270</v>
      </c>
      <c r="D1577" s="1" t="s">
        <v>2272</v>
      </c>
      <c r="E1577">
        <v>4151</v>
      </c>
      <c r="F1577">
        <v>4300</v>
      </c>
      <c r="G1577">
        <v>4500</v>
      </c>
      <c r="H1577">
        <v>7360</v>
      </c>
    </row>
    <row r="1578" spans="1:8" x14ac:dyDescent="0.25">
      <c r="A1578" s="10">
        <v>2182</v>
      </c>
      <c r="B1578" s="1" t="s">
        <v>2280</v>
      </c>
      <c r="C1578" s="2" t="s">
        <v>2271</v>
      </c>
      <c r="D1578" s="1" t="s">
        <v>2272</v>
      </c>
    </row>
    <row r="1579" spans="1:8" x14ac:dyDescent="0.25">
      <c r="C1579" s="5"/>
    </row>
    <row r="1580" spans="1:8" x14ac:dyDescent="0.25">
      <c r="A1580" s="10">
        <v>2183</v>
      </c>
      <c r="B1580" s="1" t="s">
        <v>2280</v>
      </c>
      <c r="C1580" s="2" t="s">
        <v>2273</v>
      </c>
      <c r="D1580" s="1" t="s">
        <v>2272</v>
      </c>
    </row>
    <row r="1581" spans="1:8" x14ac:dyDescent="0.25">
      <c r="A1581" s="10">
        <v>2184</v>
      </c>
      <c r="B1581" s="1" t="s">
        <v>2280</v>
      </c>
      <c r="C1581" s="2" t="s">
        <v>2274</v>
      </c>
      <c r="D1581" s="1" t="s">
        <v>2272</v>
      </c>
    </row>
    <row r="1582" spans="1:8" x14ac:dyDescent="0.25">
      <c r="A1582" s="10">
        <v>2185</v>
      </c>
      <c r="B1582" s="1" t="s">
        <v>2280</v>
      </c>
      <c r="C1582" s="2" t="s">
        <v>2275</v>
      </c>
      <c r="D1582" s="1" t="s">
        <v>2272</v>
      </c>
      <c r="E1582">
        <v>2538</v>
      </c>
      <c r="F1582">
        <v>2600</v>
      </c>
      <c r="G1582">
        <v>2700</v>
      </c>
      <c r="H1582">
        <v>4500</v>
      </c>
    </row>
    <row r="1583" spans="1:8" x14ac:dyDescent="0.25">
      <c r="A1583" s="10">
        <v>2186</v>
      </c>
      <c r="B1583" s="1" t="s">
        <v>2280</v>
      </c>
      <c r="C1583" s="2" t="s">
        <v>2276</v>
      </c>
      <c r="D1583" s="1" t="s">
        <v>2272</v>
      </c>
      <c r="E1583">
        <v>2538</v>
      </c>
      <c r="F1583">
        <v>2600</v>
      </c>
      <c r="G1583">
        <v>2700</v>
      </c>
      <c r="H1583">
        <v>4500</v>
      </c>
    </row>
    <row r="1584" spans="1:8" x14ac:dyDescent="0.25">
      <c r="A1584" s="10">
        <v>2187</v>
      </c>
      <c r="B1584" s="1" t="s">
        <v>2280</v>
      </c>
      <c r="C1584" s="2" t="s">
        <v>2277</v>
      </c>
      <c r="D1584" s="1" t="s">
        <v>2272</v>
      </c>
    </row>
    <row r="1585" spans="1:8" x14ac:dyDescent="0.25">
      <c r="A1585" s="10">
        <v>2188</v>
      </c>
      <c r="B1585" s="1" t="s">
        <v>2280</v>
      </c>
      <c r="C1585" s="2" t="s">
        <v>2278</v>
      </c>
      <c r="D1585" s="1" t="s">
        <v>2272</v>
      </c>
    </row>
    <row r="1586" spans="1:8" x14ac:dyDescent="0.25">
      <c r="A1586" s="10">
        <v>2189</v>
      </c>
      <c r="B1586" s="1" t="s">
        <v>2280</v>
      </c>
      <c r="C1586" s="2" t="s">
        <v>2279</v>
      </c>
      <c r="D1586" s="1" t="s">
        <v>2272</v>
      </c>
    </row>
    <row r="1587" spans="1:8" x14ac:dyDescent="0.25">
      <c r="C1587" s="5"/>
    </row>
    <row r="1588" spans="1:8" x14ac:dyDescent="0.25">
      <c r="A1588" s="10">
        <v>2190</v>
      </c>
      <c r="B1588" s="1" t="s">
        <v>2280</v>
      </c>
      <c r="C1588" s="2" t="s">
        <v>2334</v>
      </c>
      <c r="D1588" s="1" t="s">
        <v>2272</v>
      </c>
      <c r="E1588">
        <v>2050</v>
      </c>
      <c r="F1588">
        <v>2100</v>
      </c>
      <c r="G1588">
        <v>2200</v>
      </c>
      <c r="H1588">
        <v>4100</v>
      </c>
    </row>
    <row r="1589" spans="1:8" x14ac:dyDescent="0.25">
      <c r="A1589" s="10">
        <v>2191</v>
      </c>
      <c r="B1589" s="1" t="s">
        <v>2280</v>
      </c>
      <c r="C1589" s="2" t="s">
        <v>2335</v>
      </c>
      <c r="D1589" s="1" t="s">
        <v>2272</v>
      </c>
      <c r="E1589">
        <v>2050</v>
      </c>
      <c r="F1589">
        <v>2100</v>
      </c>
      <c r="G1589">
        <v>2200</v>
      </c>
      <c r="H1589">
        <v>4100</v>
      </c>
    </row>
    <row r="1590" spans="1:8" x14ac:dyDescent="0.25">
      <c r="A1590" s="10">
        <v>2192</v>
      </c>
      <c r="B1590" s="1" t="s">
        <v>2280</v>
      </c>
      <c r="C1590" s="2" t="s">
        <v>2336</v>
      </c>
      <c r="D1590" s="1" t="s">
        <v>2272</v>
      </c>
      <c r="E1590">
        <v>2050</v>
      </c>
      <c r="F1590">
        <v>2100</v>
      </c>
      <c r="G1590">
        <v>2200</v>
      </c>
      <c r="H1590">
        <v>4100</v>
      </c>
    </row>
    <row r="1591" spans="1:8" x14ac:dyDescent="0.25">
      <c r="A1591" s="10">
        <v>2193</v>
      </c>
      <c r="B1591" s="1" t="s">
        <v>2280</v>
      </c>
      <c r="C1591" s="2" t="s">
        <v>2337</v>
      </c>
      <c r="D1591" s="1" t="s">
        <v>2272</v>
      </c>
      <c r="E1591">
        <v>2050</v>
      </c>
      <c r="F1591">
        <v>2100</v>
      </c>
      <c r="G1591">
        <v>2200</v>
      </c>
      <c r="H1591">
        <v>4100</v>
      </c>
    </row>
    <row r="1592" spans="1:8" x14ac:dyDescent="0.25">
      <c r="A1592" s="10">
        <v>2194</v>
      </c>
      <c r="B1592" s="1" t="s">
        <v>2280</v>
      </c>
      <c r="C1592" s="2" t="s">
        <v>2338</v>
      </c>
      <c r="D1592" s="1" t="s">
        <v>2272</v>
      </c>
      <c r="E1592">
        <v>2050</v>
      </c>
      <c r="F1592">
        <v>2100</v>
      </c>
      <c r="G1592">
        <v>2200</v>
      </c>
      <c r="H1592">
        <v>4100</v>
      </c>
    </row>
    <row r="1593" spans="1:8" x14ac:dyDescent="0.25">
      <c r="A1593" s="10">
        <v>2195</v>
      </c>
      <c r="B1593" s="1" t="s">
        <v>2280</v>
      </c>
      <c r="C1593" s="2" t="s">
        <v>2339</v>
      </c>
      <c r="D1593" s="1" t="s">
        <v>2272</v>
      </c>
      <c r="E1593">
        <v>2050</v>
      </c>
      <c r="F1593">
        <v>2100</v>
      </c>
      <c r="G1593">
        <v>2200</v>
      </c>
      <c r="H1593">
        <v>4100</v>
      </c>
    </row>
    <row r="1594" spans="1:8" x14ac:dyDescent="0.25">
      <c r="A1594" s="10">
        <v>2196</v>
      </c>
      <c r="B1594" s="1" t="s">
        <v>2280</v>
      </c>
      <c r="C1594" s="2" t="s">
        <v>2340</v>
      </c>
      <c r="D1594" s="1" t="s">
        <v>2272</v>
      </c>
      <c r="E1594">
        <v>2050</v>
      </c>
      <c r="F1594">
        <v>2100</v>
      </c>
      <c r="G1594">
        <v>2200</v>
      </c>
      <c r="H1594">
        <v>4100</v>
      </c>
    </row>
    <row r="1595" spans="1:8" x14ac:dyDescent="0.25">
      <c r="C1595" s="5"/>
    </row>
    <row r="1596" spans="1:8" x14ac:dyDescent="0.25">
      <c r="A1596" s="10">
        <v>2197</v>
      </c>
      <c r="B1596" s="1" t="s">
        <v>2284</v>
      </c>
      <c r="C1596" s="2" t="s">
        <v>2281</v>
      </c>
      <c r="D1596" s="1" t="s">
        <v>2272</v>
      </c>
      <c r="E1596">
        <v>1690</v>
      </c>
      <c r="F1596">
        <v>1800</v>
      </c>
      <c r="G1596">
        <v>2000</v>
      </c>
      <c r="H1596">
        <v>2820</v>
      </c>
    </row>
    <row r="1597" spans="1:8" x14ac:dyDescent="0.25">
      <c r="C1597" s="5"/>
    </row>
    <row r="1598" spans="1:8" x14ac:dyDescent="0.25">
      <c r="A1598" s="10">
        <v>2198</v>
      </c>
      <c r="B1598" s="1" t="s">
        <v>2285</v>
      </c>
      <c r="C1598" s="2" t="s">
        <v>2347</v>
      </c>
      <c r="D1598" s="1" t="s">
        <v>2272</v>
      </c>
      <c r="E1598">
        <v>1680</v>
      </c>
      <c r="F1598">
        <v>1800</v>
      </c>
      <c r="G1598">
        <v>2000</v>
      </c>
      <c r="H1598">
        <v>2980</v>
      </c>
    </row>
    <row r="1599" spans="1:8" x14ac:dyDescent="0.25">
      <c r="A1599" s="10">
        <v>2199</v>
      </c>
      <c r="B1599" s="1" t="s">
        <v>2285</v>
      </c>
      <c r="C1599" s="2" t="s">
        <v>2282</v>
      </c>
      <c r="D1599" s="1" t="s">
        <v>2272</v>
      </c>
      <c r="E1599">
        <v>1980</v>
      </c>
      <c r="F1599">
        <v>2100</v>
      </c>
      <c r="G1599">
        <v>2400</v>
      </c>
      <c r="H1599">
        <v>3510</v>
      </c>
    </row>
    <row r="1600" spans="1:8" x14ac:dyDescent="0.25">
      <c r="A1600" s="10">
        <v>2200</v>
      </c>
      <c r="B1600" s="1" t="s">
        <v>2285</v>
      </c>
      <c r="C1600" s="2" t="s">
        <v>2283</v>
      </c>
      <c r="D1600" s="1" t="s">
        <v>2272</v>
      </c>
      <c r="E1600">
        <v>1680</v>
      </c>
      <c r="F1600">
        <v>1800</v>
      </c>
      <c r="G1600">
        <v>2100</v>
      </c>
      <c r="H1600">
        <v>2980</v>
      </c>
    </row>
    <row r="1601" spans="1:8" x14ac:dyDescent="0.25">
      <c r="B1601" s="1"/>
      <c r="C1601" s="2"/>
    </row>
    <row r="1602" spans="1:8" x14ac:dyDescent="0.25">
      <c r="C1602" s="5"/>
    </row>
    <row r="1603" spans="1:8" x14ac:dyDescent="0.25">
      <c r="A1603" s="10">
        <v>2201</v>
      </c>
      <c r="B1603" s="1" t="s">
        <v>2293</v>
      </c>
      <c r="C1603" s="2" t="s">
        <v>2292</v>
      </c>
      <c r="D1603" s="1" t="s">
        <v>2240</v>
      </c>
    </row>
    <row r="1604" spans="1:8" x14ac:dyDescent="0.25">
      <c r="A1604" s="10">
        <v>2202</v>
      </c>
      <c r="B1604" s="1" t="s">
        <v>2293</v>
      </c>
      <c r="C1604" s="2" t="s">
        <v>2238</v>
      </c>
      <c r="D1604" s="1" t="s">
        <v>2240</v>
      </c>
      <c r="E1604">
        <v>2780</v>
      </c>
      <c r="F1604">
        <f>SUM(E1604+100)</f>
        <v>2880</v>
      </c>
      <c r="G1604">
        <v>3000</v>
      </c>
      <c r="H1604">
        <v>5050</v>
      </c>
    </row>
    <row r="1605" spans="1:8" x14ac:dyDescent="0.25">
      <c r="A1605" s="10">
        <v>2203</v>
      </c>
      <c r="B1605" s="1" t="s">
        <v>2293</v>
      </c>
      <c r="C1605" s="2" t="s">
        <v>2239</v>
      </c>
      <c r="D1605" s="1" t="s">
        <v>2240</v>
      </c>
      <c r="E1605">
        <v>6800</v>
      </c>
      <c r="F1605">
        <f t="shared" ref="F1605:F1611" si="20">SUM(E1605+100)</f>
        <v>6900</v>
      </c>
      <c r="G1605">
        <v>7200</v>
      </c>
      <c r="H1605">
        <v>11960</v>
      </c>
    </row>
    <row r="1606" spans="1:8" x14ac:dyDescent="0.25">
      <c r="A1606" s="10">
        <v>2204</v>
      </c>
      <c r="B1606" s="1" t="s">
        <v>2293</v>
      </c>
      <c r="C1606" s="2" t="s">
        <v>2286</v>
      </c>
      <c r="D1606" s="1" t="s">
        <v>2240</v>
      </c>
      <c r="E1606">
        <v>400</v>
      </c>
      <c r="F1606">
        <f t="shared" si="20"/>
        <v>500</v>
      </c>
      <c r="G1606">
        <v>500</v>
      </c>
      <c r="H1606">
        <v>1000</v>
      </c>
    </row>
    <row r="1607" spans="1:8" x14ac:dyDescent="0.25">
      <c r="A1607" s="10">
        <v>2205</v>
      </c>
      <c r="B1607" s="1" t="s">
        <v>2293</v>
      </c>
      <c r="C1607" s="2" t="s">
        <v>2287</v>
      </c>
      <c r="D1607" s="1" t="s">
        <v>2240</v>
      </c>
      <c r="E1607">
        <v>2040</v>
      </c>
      <c r="F1607">
        <f t="shared" si="20"/>
        <v>2140</v>
      </c>
      <c r="G1607">
        <v>2500</v>
      </c>
      <c r="H1607">
        <v>5100</v>
      </c>
    </row>
    <row r="1608" spans="1:8" x14ac:dyDescent="0.25">
      <c r="A1608" s="10">
        <v>2206</v>
      </c>
      <c r="B1608" s="1" t="s">
        <v>2293</v>
      </c>
      <c r="C1608" s="2" t="s">
        <v>2288</v>
      </c>
      <c r="D1608" s="1" t="s">
        <v>2240</v>
      </c>
      <c r="E1608">
        <v>2500</v>
      </c>
      <c r="F1608">
        <f t="shared" si="20"/>
        <v>2600</v>
      </c>
      <c r="G1608">
        <v>4000</v>
      </c>
      <c r="H1608">
        <v>9500</v>
      </c>
    </row>
    <row r="1609" spans="1:8" x14ac:dyDescent="0.25">
      <c r="A1609" s="10">
        <v>2207</v>
      </c>
      <c r="B1609" s="1" t="s">
        <v>2293</v>
      </c>
      <c r="C1609" s="2" t="s">
        <v>2289</v>
      </c>
      <c r="D1609" s="1" t="s">
        <v>2240</v>
      </c>
      <c r="E1609">
        <v>823</v>
      </c>
      <c r="F1609">
        <f t="shared" si="20"/>
        <v>923</v>
      </c>
      <c r="G1609">
        <v>1000</v>
      </c>
      <c r="H1609">
        <v>1460</v>
      </c>
    </row>
    <row r="1610" spans="1:8" x14ac:dyDescent="0.25">
      <c r="A1610" s="10">
        <v>2208</v>
      </c>
      <c r="B1610" s="1" t="s">
        <v>2293</v>
      </c>
      <c r="C1610" s="2" t="s">
        <v>2290</v>
      </c>
      <c r="D1610" s="1" t="s">
        <v>2240</v>
      </c>
      <c r="E1610">
        <v>1488</v>
      </c>
      <c r="F1610">
        <f t="shared" si="20"/>
        <v>1588</v>
      </c>
      <c r="G1610">
        <v>1800</v>
      </c>
      <c r="H1610">
        <v>2640</v>
      </c>
    </row>
    <row r="1611" spans="1:8" x14ac:dyDescent="0.25">
      <c r="A1611" s="10">
        <v>2209</v>
      </c>
      <c r="B1611" s="1" t="s">
        <v>2293</v>
      </c>
      <c r="C1611" s="2" t="s">
        <v>2291</v>
      </c>
      <c r="D1611" s="1" t="s">
        <v>2240</v>
      </c>
      <c r="E1611">
        <v>6760</v>
      </c>
      <c r="F1611">
        <f t="shared" si="20"/>
        <v>6860</v>
      </c>
      <c r="G1611">
        <v>7200</v>
      </c>
      <c r="H1611">
        <v>11990</v>
      </c>
    </row>
    <row r="1612" spans="1:8" x14ac:dyDescent="0.25">
      <c r="C1612" s="5"/>
    </row>
    <row r="1613" spans="1:8" x14ac:dyDescent="0.25">
      <c r="A1613" s="10">
        <v>2210</v>
      </c>
      <c r="B1613" s="1" t="s">
        <v>2341</v>
      </c>
      <c r="C1613" s="2" t="s">
        <v>2294</v>
      </c>
      <c r="D1613" s="1" t="s">
        <v>2343</v>
      </c>
    </row>
    <row r="1614" spans="1:8" x14ac:dyDescent="0.25">
      <c r="A1614" s="10">
        <v>2211</v>
      </c>
      <c r="B1614" s="1" t="s">
        <v>2341</v>
      </c>
      <c r="C1614" s="2" t="s">
        <v>2295</v>
      </c>
      <c r="D1614" s="1" t="s">
        <v>2343</v>
      </c>
    </row>
    <row r="1615" spans="1:8" x14ac:dyDescent="0.25">
      <c r="A1615" s="10">
        <v>2212</v>
      </c>
      <c r="B1615" s="1" t="s">
        <v>2341</v>
      </c>
      <c r="C1615" s="2" t="s">
        <v>2296</v>
      </c>
      <c r="D1615" s="1" t="s">
        <v>2343</v>
      </c>
    </row>
    <row r="1616" spans="1:8" x14ac:dyDescent="0.25">
      <c r="A1616" s="10">
        <v>2213</v>
      </c>
      <c r="B1616" s="1" t="s">
        <v>2341</v>
      </c>
      <c r="C1616" s="2" t="s">
        <v>2297</v>
      </c>
      <c r="D1616" s="1" t="s">
        <v>2343</v>
      </c>
    </row>
    <row r="1617" spans="1:8" x14ac:dyDescent="0.25">
      <c r="A1617" s="10">
        <v>2214</v>
      </c>
      <c r="B1617" s="1" t="s">
        <v>2341</v>
      </c>
      <c r="C1617" s="2" t="s">
        <v>2298</v>
      </c>
      <c r="D1617" s="1" t="s">
        <v>2343</v>
      </c>
    </row>
    <row r="1618" spans="1:8" x14ac:dyDescent="0.25">
      <c r="A1618" s="10">
        <v>2215</v>
      </c>
      <c r="B1618" s="1" t="s">
        <v>2341</v>
      </c>
      <c r="C1618" s="2" t="s">
        <v>2299</v>
      </c>
      <c r="D1618" s="1" t="s">
        <v>2343</v>
      </c>
    </row>
    <row r="1619" spans="1:8" x14ac:dyDescent="0.25">
      <c r="A1619" s="10">
        <v>2216</v>
      </c>
      <c r="B1619" s="1" t="s">
        <v>2341</v>
      </c>
      <c r="C1619" s="2" t="s">
        <v>2300</v>
      </c>
      <c r="D1619" s="1" t="s">
        <v>2343</v>
      </c>
    </row>
    <row r="1620" spans="1:8" x14ac:dyDescent="0.25">
      <c r="A1620" s="10">
        <v>2217</v>
      </c>
      <c r="B1620" s="1" t="s">
        <v>2341</v>
      </c>
      <c r="C1620" s="2" t="s">
        <v>2301</v>
      </c>
      <c r="D1620" s="1" t="s">
        <v>2343</v>
      </c>
    </row>
    <row r="1621" spans="1:8" x14ac:dyDescent="0.25">
      <c r="A1621" s="10">
        <v>2218</v>
      </c>
      <c r="B1621" s="1" t="s">
        <v>2341</v>
      </c>
      <c r="C1621" s="2" t="s">
        <v>2302</v>
      </c>
      <c r="D1621" s="1" t="s">
        <v>2343</v>
      </c>
    </row>
    <row r="1622" spans="1:8" x14ac:dyDescent="0.25">
      <c r="C1622" s="5"/>
    </row>
    <row r="1623" spans="1:8" x14ac:dyDescent="0.25">
      <c r="A1623" s="10">
        <v>2219</v>
      </c>
      <c r="B1623" s="1" t="s">
        <v>2342</v>
      </c>
      <c r="C1623" s="2" t="s">
        <v>2303</v>
      </c>
      <c r="D1623" s="1" t="s">
        <v>2344</v>
      </c>
      <c r="E1623">
        <v>6982</v>
      </c>
      <c r="F1623">
        <v>6982</v>
      </c>
      <c r="G1623">
        <v>7000</v>
      </c>
      <c r="H1623">
        <v>12380</v>
      </c>
    </row>
    <row r="1624" spans="1:8" x14ac:dyDescent="0.25">
      <c r="A1624" s="10">
        <v>2220</v>
      </c>
      <c r="B1624" s="1" t="s">
        <v>2342</v>
      </c>
      <c r="C1624" s="2" t="s">
        <v>2304</v>
      </c>
      <c r="D1624" s="1" t="s">
        <v>2344</v>
      </c>
      <c r="E1624">
        <v>6982</v>
      </c>
      <c r="F1624">
        <v>6982</v>
      </c>
      <c r="G1624">
        <v>7000</v>
      </c>
      <c r="H1624">
        <v>12380</v>
      </c>
    </row>
    <row r="1625" spans="1:8" x14ac:dyDescent="0.25">
      <c r="A1625" s="10">
        <v>2221</v>
      </c>
      <c r="B1625" s="1" t="s">
        <v>2342</v>
      </c>
      <c r="C1625" s="2" t="s">
        <v>2305</v>
      </c>
      <c r="D1625" s="1" t="s">
        <v>2344</v>
      </c>
      <c r="E1625">
        <v>6982</v>
      </c>
      <c r="F1625">
        <v>6982</v>
      </c>
      <c r="G1625">
        <v>7000</v>
      </c>
      <c r="H1625">
        <v>12380</v>
      </c>
    </row>
    <row r="1626" spans="1:8" x14ac:dyDescent="0.25">
      <c r="A1626" s="10">
        <v>2222</v>
      </c>
      <c r="B1626" s="1" t="s">
        <v>2342</v>
      </c>
      <c r="C1626" s="2" t="s">
        <v>2306</v>
      </c>
      <c r="D1626" s="1" t="s">
        <v>2344</v>
      </c>
      <c r="E1626">
        <v>6982</v>
      </c>
      <c r="F1626">
        <v>6982</v>
      </c>
      <c r="G1626">
        <v>7000</v>
      </c>
      <c r="H1626">
        <v>12380</v>
      </c>
    </row>
    <row r="1627" spans="1:8" x14ac:dyDescent="0.25">
      <c r="A1627" s="10">
        <v>2223</v>
      </c>
      <c r="B1627" s="1" t="s">
        <v>2342</v>
      </c>
      <c r="C1627" s="2" t="s">
        <v>2307</v>
      </c>
      <c r="D1627" s="1" t="s">
        <v>2344</v>
      </c>
      <c r="E1627">
        <v>6982</v>
      </c>
      <c r="F1627">
        <v>6982</v>
      </c>
      <c r="G1627">
        <v>7000</v>
      </c>
      <c r="H1627">
        <v>12380</v>
      </c>
    </row>
    <row r="1628" spans="1:8" x14ac:dyDescent="0.25">
      <c r="A1628" s="10">
        <v>2224</v>
      </c>
      <c r="B1628" s="1" t="s">
        <v>2342</v>
      </c>
      <c r="C1628" s="2" t="s">
        <v>2308</v>
      </c>
      <c r="D1628" s="1" t="s">
        <v>2344</v>
      </c>
      <c r="E1628">
        <v>6982</v>
      </c>
      <c r="F1628">
        <v>6982</v>
      </c>
      <c r="G1628">
        <v>7000</v>
      </c>
      <c r="H1628">
        <v>12380</v>
      </c>
    </row>
    <row r="1629" spans="1:8" x14ac:dyDescent="0.25">
      <c r="A1629" s="10">
        <v>2225</v>
      </c>
      <c r="B1629" s="1" t="s">
        <v>2342</v>
      </c>
      <c r="C1629" s="2" t="s">
        <v>2309</v>
      </c>
      <c r="D1629" s="1" t="s">
        <v>2344</v>
      </c>
      <c r="E1629">
        <v>6982</v>
      </c>
      <c r="F1629">
        <v>6982</v>
      </c>
      <c r="G1629">
        <v>7000</v>
      </c>
      <c r="H1629">
        <v>12380</v>
      </c>
    </row>
    <row r="1630" spans="1:8" x14ac:dyDescent="0.25">
      <c r="A1630" s="10">
        <v>2226</v>
      </c>
      <c r="B1630" s="1" t="s">
        <v>2342</v>
      </c>
      <c r="C1630" s="2" t="s">
        <v>2310</v>
      </c>
      <c r="D1630" s="1" t="s">
        <v>2344</v>
      </c>
      <c r="E1630">
        <v>6982</v>
      </c>
      <c r="F1630">
        <v>6982</v>
      </c>
      <c r="G1630">
        <v>7000</v>
      </c>
      <c r="H1630">
        <v>12380</v>
      </c>
    </row>
    <row r="1631" spans="1:8" x14ac:dyDescent="0.25">
      <c r="A1631" s="10">
        <v>2227</v>
      </c>
      <c r="B1631" s="1" t="s">
        <v>2342</v>
      </c>
      <c r="C1631" s="2" t="s">
        <v>2311</v>
      </c>
      <c r="D1631" s="1" t="s">
        <v>2344</v>
      </c>
      <c r="E1631">
        <v>6982</v>
      </c>
      <c r="F1631">
        <v>6982</v>
      </c>
      <c r="G1631">
        <v>7000</v>
      </c>
      <c r="H1631">
        <v>12380</v>
      </c>
    </row>
    <row r="1632" spans="1:8" x14ac:dyDescent="0.25">
      <c r="A1632" s="10">
        <v>2228</v>
      </c>
      <c r="B1632" s="1" t="s">
        <v>2342</v>
      </c>
      <c r="C1632" s="2" t="s">
        <v>2312</v>
      </c>
      <c r="D1632" s="1" t="s">
        <v>2344</v>
      </c>
      <c r="E1632">
        <v>6982</v>
      </c>
      <c r="F1632">
        <v>6982</v>
      </c>
      <c r="G1632">
        <v>7000</v>
      </c>
      <c r="H1632">
        <v>12380</v>
      </c>
    </row>
    <row r="1633" spans="1:8" x14ac:dyDescent="0.25">
      <c r="C1633" s="5"/>
    </row>
    <row r="1634" spans="1:8" x14ac:dyDescent="0.25">
      <c r="A1634" s="10">
        <v>2229</v>
      </c>
      <c r="B1634" s="1" t="s">
        <v>2342</v>
      </c>
      <c r="C1634" s="2" t="s">
        <v>2313</v>
      </c>
      <c r="D1634" s="1" t="s">
        <v>2344</v>
      </c>
      <c r="E1634">
        <v>1838</v>
      </c>
      <c r="F1634">
        <v>1900</v>
      </c>
      <c r="G1634">
        <v>1950</v>
      </c>
      <c r="H1634">
        <v>3260</v>
      </c>
    </row>
    <row r="1635" spans="1:8" x14ac:dyDescent="0.25">
      <c r="A1635" s="10">
        <v>2230</v>
      </c>
      <c r="B1635" s="1" t="s">
        <v>2342</v>
      </c>
      <c r="C1635" s="2" t="s">
        <v>2314</v>
      </c>
      <c r="D1635" s="1" t="s">
        <v>2344</v>
      </c>
      <c r="E1635">
        <v>1838</v>
      </c>
      <c r="F1635">
        <v>1900</v>
      </c>
      <c r="G1635">
        <v>1950</v>
      </c>
      <c r="H1635">
        <v>3260</v>
      </c>
    </row>
    <row r="1636" spans="1:8" x14ac:dyDescent="0.25">
      <c r="A1636" s="10">
        <v>2231</v>
      </c>
      <c r="B1636" s="1" t="s">
        <v>2342</v>
      </c>
      <c r="C1636" s="2" t="s">
        <v>2315</v>
      </c>
      <c r="D1636" s="1" t="s">
        <v>2344</v>
      </c>
      <c r="E1636">
        <v>1838</v>
      </c>
      <c r="F1636">
        <v>1900</v>
      </c>
      <c r="G1636">
        <v>1950</v>
      </c>
      <c r="H1636">
        <v>3260</v>
      </c>
    </row>
    <row r="1637" spans="1:8" x14ac:dyDescent="0.25">
      <c r="A1637" s="10">
        <v>2232</v>
      </c>
      <c r="B1637" s="1" t="s">
        <v>2342</v>
      </c>
      <c r="C1637" s="2" t="s">
        <v>2316</v>
      </c>
      <c r="D1637" s="1" t="s">
        <v>2344</v>
      </c>
      <c r="E1637">
        <v>1838</v>
      </c>
      <c r="F1637">
        <v>1900</v>
      </c>
      <c r="G1637">
        <v>1950</v>
      </c>
      <c r="H1637">
        <v>3260</v>
      </c>
    </row>
    <row r="1638" spans="1:8" x14ac:dyDescent="0.25">
      <c r="A1638" s="10">
        <v>2233</v>
      </c>
      <c r="B1638" s="1" t="s">
        <v>2342</v>
      </c>
      <c r="C1638" s="2" t="s">
        <v>2317</v>
      </c>
      <c r="D1638" s="1" t="s">
        <v>2344</v>
      </c>
      <c r="E1638">
        <v>1838</v>
      </c>
      <c r="F1638">
        <v>1900</v>
      </c>
      <c r="G1638">
        <v>1950</v>
      </c>
      <c r="H1638">
        <v>3260</v>
      </c>
    </row>
    <row r="1639" spans="1:8" x14ac:dyDescent="0.25">
      <c r="A1639" s="10">
        <v>2234</v>
      </c>
      <c r="B1639" s="1" t="s">
        <v>2342</v>
      </c>
      <c r="C1639" s="2" t="s">
        <v>2318</v>
      </c>
      <c r="D1639" s="1" t="s">
        <v>2344</v>
      </c>
      <c r="E1639">
        <v>1838</v>
      </c>
      <c r="F1639">
        <v>1900</v>
      </c>
      <c r="G1639">
        <v>1950</v>
      </c>
      <c r="H1639">
        <v>3260</v>
      </c>
    </row>
    <row r="1640" spans="1:8" x14ac:dyDescent="0.25">
      <c r="A1640" s="10">
        <v>2235</v>
      </c>
      <c r="B1640" s="1" t="s">
        <v>2342</v>
      </c>
      <c r="C1640" s="2" t="s">
        <v>2319</v>
      </c>
      <c r="D1640" s="1" t="s">
        <v>2344</v>
      </c>
      <c r="E1640">
        <v>1838</v>
      </c>
      <c r="F1640">
        <v>1900</v>
      </c>
      <c r="G1640">
        <v>1950</v>
      </c>
      <c r="H1640">
        <v>3260</v>
      </c>
    </row>
    <row r="1641" spans="1:8" x14ac:dyDescent="0.25">
      <c r="A1641" s="10">
        <v>2236</v>
      </c>
      <c r="B1641" s="1" t="s">
        <v>2342</v>
      </c>
      <c r="C1641" s="2" t="s">
        <v>2320</v>
      </c>
      <c r="D1641" s="1" t="s">
        <v>2344</v>
      </c>
      <c r="E1641">
        <v>1838</v>
      </c>
      <c r="F1641">
        <v>1900</v>
      </c>
      <c r="G1641">
        <v>1950</v>
      </c>
      <c r="H1641">
        <v>3260</v>
      </c>
    </row>
    <row r="1642" spans="1:8" x14ac:dyDescent="0.25">
      <c r="A1642" s="10">
        <v>2237</v>
      </c>
      <c r="B1642" s="1" t="s">
        <v>2342</v>
      </c>
      <c r="C1642" s="2" t="s">
        <v>2321</v>
      </c>
      <c r="D1642" s="1" t="s">
        <v>2344</v>
      </c>
      <c r="E1642">
        <v>1838</v>
      </c>
      <c r="F1642">
        <v>1900</v>
      </c>
      <c r="G1642">
        <v>1950</v>
      </c>
      <c r="H1642">
        <v>3260</v>
      </c>
    </row>
    <row r="1643" spans="1:8" x14ac:dyDescent="0.25">
      <c r="A1643" s="10">
        <v>2238</v>
      </c>
      <c r="B1643" s="1" t="s">
        <v>2342</v>
      </c>
      <c r="C1643" s="2" t="s">
        <v>2322</v>
      </c>
      <c r="D1643" s="1" t="s">
        <v>2344</v>
      </c>
      <c r="E1643">
        <v>1838</v>
      </c>
      <c r="F1643">
        <v>1900</v>
      </c>
      <c r="G1643">
        <v>1950</v>
      </c>
      <c r="H1643">
        <v>3260</v>
      </c>
    </row>
    <row r="1644" spans="1:8" x14ac:dyDescent="0.25">
      <c r="C1644" s="5"/>
    </row>
    <row r="1645" spans="1:8" x14ac:dyDescent="0.25">
      <c r="A1645" s="10">
        <v>2239</v>
      </c>
      <c r="B1645" s="1" t="s">
        <v>2342</v>
      </c>
      <c r="C1645" s="2" t="s">
        <v>2323</v>
      </c>
      <c r="D1645" s="1" t="s">
        <v>2344</v>
      </c>
      <c r="E1645">
        <v>878</v>
      </c>
      <c r="F1645">
        <v>900</v>
      </c>
      <c r="G1645">
        <v>950</v>
      </c>
      <c r="H1645">
        <v>1700</v>
      </c>
    </row>
    <row r="1646" spans="1:8" x14ac:dyDescent="0.25">
      <c r="A1646" s="10">
        <v>2240</v>
      </c>
      <c r="B1646" s="1" t="s">
        <v>2342</v>
      </c>
      <c r="C1646" s="2" t="s">
        <v>2324</v>
      </c>
      <c r="D1646" s="1" t="s">
        <v>2344</v>
      </c>
      <c r="E1646">
        <v>878</v>
      </c>
      <c r="F1646">
        <v>900</v>
      </c>
      <c r="G1646">
        <v>950</v>
      </c>
      <c r="H1646">
        <v>1700</v>
      </c>
    </row>
    <row r="1647" spans="1:8" x14ac:dyDescent="0.25">
      <c r="A1647" s="10">
        <v>2241</v>
      </c>
      <c r="B1647" s="1" t="s">
        <v>2342</v>
      </c>
      <c r="C1647" s="2" t="s">
        <v>2325</v>
      </c>
      <c r="D1647" s="1" t="s">
        <v>2344</v>
      </c>
      <c r="E1647">
        <v>878</v>
      </c>
      <c r="F1647">
        <v>900</v>
      </c>
      <c r="G1647">
        <v>950</v>
      </c>
      <c r="H1647">
        <v>1700</v>
      </c>
    </row>
    <row r="1648" spans="1:8" x14ac:dyDescent="0.25">
      <c r="A1648" s="10">
        <v>2242</v>
      </c>
      <c r="B1648" s="1" t="s">
        <v>2342</v>
      </c>
      <c r="C1648" s="2" t="s">
        <v>2326</v>
      </c>
      <c r="D1648" s="1" t="s">
        <v>2344</v>
      </c>
      <c r="E1648">
        <v>878</v>
      </c>
      <c r="F1648">
        <v>900</v>
      </c>
      <c r="G1648">
        <v>950</v>
      </c>
      <c r="H1648">
        <v>1700</v>
      </c>
    </row>
    <row r="1649" spans="1:8" x14ac:dyDescent="0.25">
      <c r="A1649" s="10">
        <v>2243</v>
      </c>
      <c r="B1649" s="1" t="s">
        <v>2342</v>
      </c>
      <c r="C1649" s="2" t="s">
        <v>2327</v>
      </c>
      <c r="D1649" s="1" t="s">
        <v>2344</v>
      </c>
      <c r="E1649">
        <v>878</v>
      </c>
      <c r="F1649">
        <v>900</v>
      </c>
      <c r="G1649">
        <v>950</v>
      </c>
      <c r="H1649">
        <v>1700</v>
      </c>
    </row>
    <row r="1650" spans="1:8" x14ac:dyDescent="0.25">
      <c r="A1650" s="10">
        <v>2244</v>
      </c>
      <c r="B1650" s="1" t="s">
        <v>2342</v>
      </c>
      <c r="C1650" s="2" t="s">
        <v>2328</v>
      </c>
      <c r="D1650" s="1" t="s">
        <v>2344</v>
      </c>
      <c r="E1650">
        <v>878</v>
      </c>
      <c r="F1650">
        <v>900</v>
      </c>
      <c r="G1650">
        <v>950</v>
      </c>
      <c r="H1650">
        <v>1700</v>
      </c>
    </row>
    <row r="1651" spans="1:8" x14ac:dyDescent="0.25">
      <c r="A1651" s="10">
        <v>2245</v>
      </c>
      <c r="B1651" s="1" t="s">
        <v>2342</v>
      </c>
      <c r="C1651" s="2" t="s">
        <v>2329</v>
      </c>
      <c r="D1651" s="1" t="s">
        <v>2344</v>
      </c>
      <c r="E1651">
        <v>878</v>
      </c>
      <c r="F1651">
        <v>900</v>
      </c>
      <c r="G1651">
        <v>950</v>
      </c>
      <c r="H1651">
        <v>1700</v>
      </c>
    </row>
    <row r="1652" spans="1:8" x14ac:dyDescent="0.25">
      <c r="A1652" s="10">
        <v>2246</v>
      </c>
      <c r="B1652" s="1" t="s">
        <v>2342</v>
      </c>
      <c r="C1652" s="2" t="s">
        <v>2330</v>
      </c>
      <c r="D1652" s="1" t="s">
        <v>2344</v>
      </c>
      <c r="E1652">
        <v>878</v>
      </c>
      <c r="F1652">
        <v>900</v>
      </c>
      <c r="G1652">
        <v>950</v>
      </c>
      <c r="H1652">
        <v>1700</v>
      </c>
    </row>
    <row r="1653" spans="1:8" x14ac:dyDescent="0.25">
      <c r="A1653" s="10">
        <v>2247</v>
      </c>
      <c r="B1653" s="1" t="s">
        <v>2342</v>
      </c>
      <c r="C1653" s="2" t="s">
        <v>2331</v>
      </c>
      <c r="D1653" s="1" t="s">
        <v>2344</v>
      </c>
      <c r="E1653">
        <v>878</v>
      </c>
      <c r="F1653">
        <v>900</v>
      </c>
      <c r="G1653">
        <v>950</v>
      </c>
      <c r="H1653">
        <v>1700</v>
      </c>
    </row>
    <row r="1654" spans="1:8" x14ac:dyDescent="0.25">
      <c r="A1654" s="10">
        <v>2248</v>
      </c>
      <c r="B1654" s="1" t="s">
        <v>2342</v>
      </c>
      <c r="C1654" s="2" t="s">
        <v>2332</v>
      </c>
      <c r="D1654" s="1" t="s">
        <v>2344</v>
      </c>
      <c r="E1654">
        <v>878</v>
      </c>
      <c r="F1654">
        <v>900</v>
      </c>
      <c r="G1654">
        <v>950</v>
      </c>
      <c r="H1654">
        <v>1700</v>
      </c>
    </row>
    <row r="1655" spans="1:8" x14ac:dyDescent="0.25">
      <c r="C1655" s="5"/>
    </row>
    <row r="1656" spans="1:8" x14ac:dyDescent="0.25">
      <c r="A1656" s="10">
        <v>2249</v>
      </c>
      <c r="B1656" s="1" t="s">
        <v>2351</v>
      </c>
      <c r="C1656" s="2" t="s">
        <v>2353</v>
      </c>
      <c r="D1656" s="1" t="s">
        <v>2352</v>
      </c>
      <c r="E1656">
        <v>2025</v>
      </c>
      <c r="F1656">
        <v>2025</v>
      </c>
      <c r="G1656">
        <v>2300</v>
      </c>
      <c r="H1656">
        <v>3590</v>
      </c>
    </row>
    <row r="1657" spans="1:8" x14ac:dyDescent="0.25">
      <c r="A1657" s="10">
        <v>2250</v>
      </c>
      <c r="B1657" s="1" t="s">
        <v>2351</v>
      </c>
      <c r="C1657" s="2" t="s">
        <v>2354</v>
      </c>
      <c r="D1657" s="1" t="s">
        <v>2352</v>
      </c>
      <c r="E1657">
        <v>2190</v>
      </c>
      <c r="F1657">
        <v>2190</v>
      </c>
      <c r="G1657">
        <v>2300</v>
      </c>
      <c r="H1657">
        <v>3990</v>
      </c>
    </row>
    <row r="1658" spans="1:8" x14ac:dyDescent="0.25">
      <c r="A1658" s="10">
        <v>2251</v>
      </c>
      <c r="B1658" s="1" t="s">
        <v>2351</v>
      </c>
      <c r="C1658" s="2" t="s">
        <v>2355</v>
      </c>
      <c r="D1658" s="1" t="s">
        <v>2352</v>
      </c>
      <c r="E1658">
        <v>2025</v>
      </c>
      <c r="F1658">
        <v>2025</v>
      </c>
      <c r="G1658">
        <v>2400</v>
      </c>
      <c r="H1658">
        <v>3590</v>
      </c>
    </row>
    <row r="1659" spans="1:8" x14ac:dyDescent="0.25">
      <c r="A1659" s="10">
        <v>2252</v>
      </c>
      <c r="B1659" s="1" t="s">
        <v>2351</v>
      </c>
      <c r="C1659" s="2" t="s">
        <v>2356</v>
      </c>
      <c r="D1659" s="1" t="s">
        <v>2352</v>
      </c>
      <c r="E1659">
        <v>2025</v>
      </c>
      <c r="F1659">
        <v>2025</v>
      </c>
      <c r="G1659">
        <v>2400</v>
      </c>
      <c r="H1659">
        <v>3590</v>
      </c>
    </row>
    <row r="1660" spans="1:8" x14ac:dyDescent="0.25">
      <c r="A1660" s="10">
        <v>2253</v>
      </c>
      <c r="B1660" s="1" t="s">
        <v>2351</v>
      </c>
      <c r="C1660" s="2" t="s">
        <v>2357</v>
      </c>
      <c r="D1660" s="1" t="s">
        <v>2352</v>
      </c>
      <c r="E1660">
        <v>2025</v>
      </c>
      <c r="F1660">
        <v>2025</v>
      </c>
      <c r="G1660">
        <v>2400</v>
      </c>
      <c r="H1660">
        <v>3590</v>
      </c>
    </row>
    <row r="1661" spans="1:8" x14ac:dyDescent="0.25">
      <c r="A1661" s="10">
        <v>2254</v>
      </c>
      <c r="B1661" s="1" t="s">
        <v>2351</v>
      </c>
      <c r="C1661" s="2" t="s">
        <v>2358</v>
      </c>
      <c r="D1661" s="1" t="s">
        <v>2352</v>
      </c>
      <c r="E1661">
        <v>1434</v>
      </c>
      <c r="F1661">
        <v>1434</v>
      </c>
      <c r="G1661">
        <v>1800</v>
      </c>
      <c r="H1661">
        <v>2390</v>
      </c>
    </row>
    <row r="1662" spans="1:8" x14ac:dyDescent="0.25">
      <c r="A1662" s="10">
        <v>2255</v>
      </c>
      <c r="B1662" s="1" t="s">
        <v>2351</v>
      </c>
      <c r="C1662" s="2" t="s">
        <v>2359</v>
      </c>
      <c r="D1662" s="1" t="s">
        <v>2352</v>
      </c>
      <c r="E1662">
        <v>1040</v>
      </c>
      <c r="F1662">
        <v>1040</v>
      </c>
      <c r="G1662">
        <v>1500</v>
      </c>
      <c r="H1662">
        <v>2595</v>
      </c>
    </row>
    <row r="1663" spans="1:8" x14ac:dyDescent="0.25">
      <c r="A1663" s="10">
        <v>2256</v>
      </c>
      <c r="B1663" s="1" t="s">
        <v>2351</v>
      </c>
      <c r="C1663" s="2" t="s">
        <v>2360</v>
      </c>
      <c r="D1663" s="1" t="s">
        <v>2352</v>
      </c>
      <c r="E1663">
        <v>1040</v>
      </c>
      <c r="F1663">
        <v>1040</v>
      </c>
      <c r="G1663">
        <v>1500</v>
      </c>
      <c r="H1663">
        <v>2595</v>
      </c>
    </row>
    <row r="1664" spans="1:8" x14ac:dyDescent="0.25">
      <c r="A1664" s="10">
        <v>2257</v>
      </c>
      <c r="B1664" s="1" t="s">
        <v>2351</v>
      </c>
      <c r="C1664" s="2" t="s">
        <v>2361</v>
      </c>
      <c r="D1664" s="1" t="s">
        <v>2352</v>
      </c>
      <c r="E1664">
        <v>1395</v>
      </c>
      <c r="F1664">
        <v>1395</v>
      </c>
      <c r="G1664">
        <v>1800</v>
      </c>
      <c r="H1664">
        <v>2795</v>
      </c>
    </row>
    <row r="1665" spans="1:8" x14ac:dyDescent="0.25">
      <c r="A1665" s="10">
        <v>2258</v>
      </c>
      <c r="B1665" s="1" t="s">
        <v>2351</v>
      </c>
      <c r="C1665" s="2" t="s">
        <v>2362</v>
      </c>
      <c r="D1665" s="1" t="s">
        <v>2352</v>
      </c>
      <c r="E1665">
        <v>1395</v>
      </c>
      <c r="F1665">
        <v>1395</v>
      </c>
      <c r="G1665">
        <v>1800</v>
      </c>
      <c r="H1665">
        <v>2795</v>
      </c>
    </row>
    <row r="1666" spans="1:8" x14ac:dyDescent="0.25">
      <c r="A1666" s="10">
        <v>2259</v>
      </c>
      <c r="B1666" s="1" t="s">
        <v>2351</v>
      </c>
      <c r="C1666" s="2" t="s">
        <v>2363</v>
      </c>
      <c r="D1666" s="1" t="s">
        <v>2352</v>
      </c>
      <c r="E1666">
        <v>1395</v>
      </c>
      <c r="F1666">
        <v>1395</v>
      </c>
      <c r="G1666">
        <v>1800</v>
      </c>
      <c r="H1666">
        <v>2795</v>
      </c>
    </row>
    <row r="1667" spans="1:8" x14ac:dyDescent="0.25">
      <c r="A1667" s="10">
        <v>2260</v>
      </c>
      <c r="B1667" s="1" t="s">
        <v>2351</v>
      </c>
      <c r="C1667" s="2" t="s">
        <v>2364</v>
      </c>
      <c r="D1667" s="1" t="s">
        <v>2352</v>
      </c>
      <c r="E1667">
        <v>1395</v>
      </c>
      <c r="F1667">
        <v>1395</v>
      </c>
      <c r="G1667">
        <v>1800</v>
      </c>
      <c r="H1667">
        <v>2795</v>
      </c>
    </row>
    <row r="1668" spans="1:8" x14ac:dyDescent="0.25">
      <c r="A1668" s="10">
        <v>2261</v>
      </c>
      <c r="B1668" s="1" t="s">
        <v>2351</v>
      </c>
      <c r="C1668" s="2" t="s">
        <v>2365</v>
      </c>
      <c r="D1668" s="1" t="s">
        <v>2352</v>
      </c>
      <c r="E1668">
        <v>1395</v>
      </c>
      <c r="F1668">
        <v>1395</v>
      </c>
      <c r="G1668">
        <v>1800</v>
      </c>
      <c r="H1668">
        <v>2795</v>
      </c>
    </row>
    <row r="1669" spans="1:8" x14ac:dyDescent="0.25">
      <c r="C1669" s="5"/>
    </row>
    <row r="1670" spans="1:8" x14ac:dyDescent="0.25">
      <c r="A1670" s="10">
        <v>2262</v>
      </c>
      <c r="B1670" s="1" t="s">
        <v>2351</v>
      </c>
      <c r="C1670" s="2" t="s">
        <v>2366</v>
      </c>
      <c r="D1670" s="1" t="s">
        <v>2352</v>
      </c>
      <c r="E1670">
        <v>1165</v>
      </c>
      <c r="F1670">
        <v>1165</v>
      </c>
      <c r="G1670">
        <v>1200</v>
      </c>
      <c r="H1670">
        <v>2330</v>
      </c>
    </row>
    <row r="1671" spans="1:8" x14ac:dyDescent="0.25">
      <c r="A1671" s="10">
        <v>2263</v>
      </c>
      <c r="B1671" s="1" t="s">
        <v>2351</v>
      </c>
      <c r="C1671" s="2" t="s">
        <v>2367</v>
      </c>
      <c r="D1671" s="1" t="s">
        <v>2352</v>
      </c>
      <c r="E1671">
        <v>1165</v>
      </c>
      <c r="F1671">
        <v>1165</v>
      </c>
      <c r="G1671">
        <v>1200</v>
      </c>
      <c r="H1671">
        <v>2330</v>
      </c>
    </row>
    <row r="1672" spans="1:8" x14ac:dyDescent="0.25">
      <c r="A1672" s="10">
        <v>2264</v>
      </c>
      <c r="B1672" s="1" t="s">
        <v>2351</v>
      </c>
      <c r="C1672" s="2" t="s">
        <v>2368</v>
      </c>
      <c r="D1672" s="1" t="s">
        <v>2352</v>
      </c>
      <c r="E1672">
        <v>1165</v>
      </c>
      <c r="F1672">
        <v>1165</v>
      </c>
      <c r="G1672">
        <v>1300</v>
      </c>
      <c r="H1672">
        <v>2330</v>
      </c>
    </row>
    <row r="1673" spans="1:8" x14ac:dyDescent="0.25">
      <c r="A1673" s="10">
        <v>2265</v>
      </c>
      <c r="B1673" s="1" t="s">
        <v>2351</v>
      </c>
      <c r="C1673" s="2" t="s">
        <v>2369</v>
      </c>
      <c r="D1673" s="1" t="s">
        <v>2352</v>
      </c>
      <c r="E1673">
        <v>1165</v>
      </c>
      <c r="F1673">
        <v>1165</v>
      </c>
      <c r="G1673">
        <v>1300</v>
      </c>
      <c r="H1673">
        <v>2330</v>
      </c>
    </row>
    <row r="1674" spans="1:8" x14ac:dyDescent="0.25">
      <c r="A1674" s="10">
        <v>2266</v>
      </c>
      <c r="B1674" s="1" t="s">
        <v>2351</v>
      </c>
      <c r="C1674" s="2" t="s">
        <v>2370</v>
      </c>
      <c r="D1674" s="1" t="s">
        <v>2352</v>
      </c>
      <c r="E1674">
        <v>1165</v>
      </c>
      <c r="F1674">
        <v>1165</v>
      </c>
      <c r="G1674">
        <v>1300</v>
      </c>
      <c r="H1674">
        <v>2330</v>
      </c>
    </row>
    <row r="1675" spans="1:8" x14ac:dyDescent="0.25">
      <c r="A1675" s="10">
        <v>2267</v>
      </c>
      <c r="B1675" s="1" t="s">
        <v>2351</v>
      </c>
      <c r="C1675" s="2" t="s">
        <v>2371</v>
      </c>
      <c r="D1675" s="1" t="s">
        <v>2352</v>
      </c>
      <c r="E1675">
        <v>834</v>
      </c>
      <c r="F1675">
        <v>834</v>
      </c>
      <c r="G1675">
        <v>1000</v>
      </c>
      <c r="H1675">
        <v>1390</v>
      </c>
    </row>
    <row r="1676" spans="1:8" x14ac:dyDescent="0.25">
      <c r="A1676" s="10">
        <v>2268</v>
      </c>
      <c r="B1676" s="1" t="s">
        <v>2351</v>
      </c>
      <c r="C1676" s="2" t="s">
        <v>2372</v>
      </c>
      <c r="D1676" s="1" t="s">
        <v>2352</v>
      </c>
      <c r="E1676">
        <v>598</v>
      </c>
      <c r="F1676">
        <v>598</v>
      </c>
      <c r="G1676">
        <v>950</v>
      </c>
      <c r="H1676">
        <v>1495</v>
      </c>
    </row>
    <row r="1677" spans="1:8" x14ac:dyDescent="0.25">
      <c r="A1677" s="10">
        <v>2269</v>
      </c>
      <c r="B1677" s="1" t="s">
        <v>2351</v>
      </c>
      <c r="C1677" s="2" t="s">
        <v>2373</v>
      </c>
      <c r="D1677" s="1" t="s">
        <v>2352</v>
      </c>
      <c r="E1677">
        <v>598</v>
      </c>
      <c r="F1677">
        <v>598</v>
      </c>
      <c r="G1677">
        <v>950</v>
      </c>
      <c r="H1677">
        <v>1495</v>
      </c>
    </row>
    <row r="1678" spans="1:8" x14ac:dyDescent="0.25">
      <c r="A1678" s="10">
        <v>2270</v>
      </c>
      <c r="B1678" s="1" t="s">
        <v>2351</v>
      </c>
      <c r="C1678" s="2" t="s">
        <v>2374</v>
      </c>
      <c r="D1678" s="1" t="s">
        <v>2352</v>
      </c>
      <c r="E1678">
        <v>745</v>
      </c>
      <c r="F1678">
        <v>745</v>
      </c>
      <c r="G1678">
        <v>1000</v>
      </c>
      <c r="H1678">
        <v>1495</v>
      </c>
    </row>
    <row r="1679" spans="1:8" x14ac:dyDescent="0.25">
      <c r="A1679" s="10">
        <v>2271</v>
      </c>
      <c r="B1679" s="1" t="s">
        <v>2351</v>
      </c>
      <c r="C1679" s="2" t="s">
        <v>2375</v>
      </c>
      <c r="D1679" s="1" t="s">
        <v>2352</v>
      </c>
      <c r="E1679">
        <v>745</v>
      </c>
      <c r="F1679">
        <v>745</v>
      </c>
      <c r="G1679">
        <v>1000</v>
      </c>
      <c r="H1679">
        <v>1495</v>
      </c>
    </row>
    <row r="1680" spans="1:8" x14ac:dyDescent="0.25">
      <c r="A1680" s="10">
        <v>2272</v>
      </c>
      <c r="B1680" s="1" t="s">
        <v>2351</v>
      </c>
      <c r="C1680" s="2" t="s">
        <v>2376</v>
      </c>
      <c r="D1680" s="1" t="s">
        <v>2352</v>
      </c>
      <c r="E1680">
        <v>745</v>
      </c>
      <c r="F1680">
        <v>745</v>
      </c>
      <c r="G1680">
        <v>1000</v>
      </c>
      <c r="H1680">
        <v>1495</v>
      </c>
    </row>
    <row r="1681" spans="1:8" x14ac:dyDescent="0.25">
      <c r="A1681" s="10">
        <v>2273</v>
      </c>
      <c r="B1681" s="1" t="s">
        <v>2351</v>
      </c>
      <c r="C1681" s="2" t="s">
        <v>2377</v>
      </c>
      <c r="D1681" s="1" t="s">
        <v>2352</v>
      </c>
      <c r="E1681">
        <v>745</v>
      </c>
      <c r="F1681">
        <v>745</v>
      </c>
      <c r="G1681">
        <v>1000</v>
      </c>
      <c r="H1681">
        <v>1495</v>
      </c>
    </row>
    <row r="1682" spans="1:8" x14ac:dyDescent="0.25">
      <c r="A1682" s="10">
        <v>2274</v>
      </c>
      <c r="B1682" s="1" t="s">
        <v>2351</v>
      </c>
      <c r="C1682" s="2" t="s">
        <v>2378</v>
      </c>
      <c r="D1682" s="1" t="s">
        <v>2352</v>
      </c>
      <c r="E1682">
        <v>745</v>
      </c>
      <c r="F1682">
        <v>745</v>
      </c>
      <c r="G1682">
        <v>1000</v>
      </c>
      <c r="H1682">
        <v>1495</v>
      </c>
    </row>
    <row r="1683" spans="1:8" x14ac:dyDescent="0.25">
      <c r="C1683" s="5"/>
    </row>
    <row r="1684" spans="1:8" x14ac:dyDescent="0.25">
      <c r="A1684" s="10">
        <v>2275</v>
      </c>
      <c r="B1684" s="1" t="s">
        <v>2351</v>
      </c>
      <c r="C1684" s="2" t="s">
        <v>2379</v>
      </c>
      <c r="D1684" s="1" t="s">
        <v>2352</v>
      </c>
      <c r="E1684">
        <v>7394</v>
      </c>
      <c r="F1684">
        <v>7394</v>
      </c>
      <c r="G1684">
        <v>8500</v>
      </c>
      <c r="H1684">
        <v>13110</v>
      </c>
    </row>
    <row r="1685" spans="1:8" x14ac:dyDescent="0.25">
      <c r="A1685" s="10">
        <v>2276</v>
      </c>
      <c r="B1685" s="1" t="s">
        <v>2351</v>
      </c>
      <c r="C1685" s="2" t="s">
        <v>2380</v>
      </c>
      <c r="D1685" s="1" t="s">
        <v>2352</v>
      </c>
      <c r="E1685">
        <v>7532</v>
      </c>
      <c r="F1685">
        <v>7532</v>
      </c>
      <c r="G1685">
        <v>8500</v>
      </c>
      <c r="H1685">
        <v>14570</v>
      </c>
    </row>
    <row r="1686" spans="1:8" x14ac:dyDescent="0.25">
      <c r="A1686" s="10">
        <v>2277</v>
      </c>
      <c r="B1686" s="1" t="s">
        <v>2351</v>
      </c>
      <c r="C1686" s="2" t="s">
        <v>2381</v>
      </c>
      <c r="D1686" s="1" t="s">
        <v>2352</v>
      </c>
      <c r="E1686">
        <v>7532</v>
      </c>
      <c r="F1686">
        <v>7532</v>
      </c>
      <c r="G1686">
        <v>8500</v>
      </c>
      <c r="H1686">
        <v>14570</v>
      </c>
    </row>
    <row r="1687" spans="1:8" x14ac:dyDescent="0.25">
      <c r="A1687" s="10">
        <v>2278</v>
      </c>
      <c r="B1687" s="1" t="s">
        <v>2351</v>
      </c>
      <c r="C1687" s="2" t="s">
        <v>2382</v>
      </c>
      <c r="D1687" s="1" t="s">
        <v>2352</v>
      </c>
      <c r="E1687">
        <v>7532</v>
      </c>
      <c r="F1687">
        <v>7532</v>
      </c>
      <c r="G1687">
        <v>8500</v>
      </c>
      <c r="H1687">
        <v>14570</v>
      </c>
    </row>
    <row r="1688" spans="1:8" x14ac:dyDescent="0.25">
      <c r="A1688" s="10">
        <v>2279</v>
      </c>
      <c r="B1688" s="1" t="s">
        <v>2351</v>
      </c>
      <c r="C1688" s="2" t="s">
        <v>2383</v>
      </c>
      <c r="D1688" s="1" t="s">
        <v>2352</v>
      </c>
      <c r="E1688">
        <v>7532</v>
      </c>
      <c r="F1688">
        <v>7532</v>
      </c>
      <c r="G1688">
        <v>8500</v>
      </c>
      <c r="H1688">
        <v>14570</v>
      </c>
    </row>
    <row r="1689" spans="1:8" x14ac:dyDescent="0.25">
      <c r="A1689" s="12"/>
    </row>
    <row r="1690" spans="1:8" x14ac:dyDescent="0.25">
      <c r="A1690" s="10">
        <v>2280</v>
      </c>
      <c r="B1690" s="1" t="s">
        <v>2430</v>
      </c>
      <c r="C1690" s="2" t="s">
        <v>2409</v>
      </c>
      <c r="D1690" s="1" t="s">
        <v>2427</v>
      </c>
      <c r="E1690">
        <v>6</v>
      </c>
      <c r="F1690">
        <f>SUM(E1690+5)</f>
        <v>11</v>
      </c>
      <c r="G1690">
        <v>20</v>
      </c>
      <c r="H1690">
        <f>SUM(G1690+5)</f>
        <v>25</v>
      </c>
    </row>
    <row r="1691" spans="1:8" x14ac:dyDescent="0.25">
      <c r="A1691" s="10">
        <v>2281</v>
      </c>
      <c r="B1691" s="1" t="s">
        <v>2430</v>
      </c>
      <c r="C1691" s="2" t="s">
        <v>2410</v>
      </c>
      <c r="D1691" s="1" t="s">
        <v>2427</v>
      </c>
      <c r="E1691">
        <v>8</v>
      </c>
      <c r="F1691">
        <f t="shared" ref="F1691:F1708" si="21">SUM(E1691+5)</f>
        <v>13</v>
      </c>
      <c r="G1691">
        <v>25</v>
      </c>
      <c r="H1691">
        <f t="shared" ref="H1691:H1708" si="22">SUM(G1691+5)</f>
        <v>30</v>
      </c>
    </row>
    <row r="1692" spans="1:8" s="5" customFormat="1" x14ac:dyDescent="0.25">
      <c r="A1692" s="10">
        <v>2282</v>
      </c>
      <c r="B1692" s="1" t="s">
        <v>2430</v>
      </c>
      <c r="C1692" s="2" t="s">
        <v>2411</v>
      </c>
      <c r="D1692" s="1" t="s">
        <v>2427</v>
      </c>
      <c r="E1692" s="5">
        <v>15</v>
      </c>
      <c r="F1692">
        <f t="shared" si="21"/>
        <v>20</v>
      </c>
      <c r="G1692" s="5">
        <v>40</v>
      </c>
      <c r="H1692">
        <f t="shared" si="22"/>
        <v>45</v>
      </c>
    </row>
    <row r="1693" spans="1:8" x14ac:dyDescent="0.25">
      <c r="A1693" s="10">
        <v>2283</v>
      </c>
      <c r="B1693" s="1" t="s">
        <v>2431</v>
      </c>
      <c r="C1693" s="2" t="s">
        <v>2412</v>
      </c>
      <c r="D1693" s="1" t="s">
        <v>2428</v>
      </c>
      <c r="E1693">
        <v>5</v>
      </c>
      <c r="F1693">
        <f t="shared" si="21"/>
        <v>10</v>
      </c>
      <c r="G1693">
        <v>15</v>
      </c>
      <c r="H1693">
        <f t="shared" si="22"/>
        <v>20</v>
      </c>
    </row>
    <row r="1694" spans="1:8" x14ac:dyDescent="0.25">
      <c r="A1694" s="10">
        <v>2284</v>
      </c>
      <c r="B1694" s="1" t="s">
        <v>2431</v>
      </c>
      <c r="C1694" s="2" t="s">
        <v>2413</v>
      </c>
      <c r="D1694" s="1" t="s">
        <v>2428</v>
      </c>
      <c r="E1694">
        <v>7.5</v>
      </c>
      <c r="F1694">
        <f t="shared" si="21"/>
        <v>12.5</v>
      </c>
      <c r="G1694">
        <v>20</v>
      </c>
      <c r="H1694">
        <f t="shared" si="22"/>
        <v>25</v>
      </c>
    </row>
    <row r="1695" spans="1:8" x14ac:dyDescent="0.25">
      <c r="A1695" s="10">
        <v>2285</v>
      </c>
      <c r="B1695" s="1" t="s">
        <v>2431</v>
      </c>
      <c r="C1695" s="2" t="s">
        <v>2414</v>
      </c>
      <c r="D1695" s="1" t="s">
        <v>2428</v>
      </c>
      <c r="E1695">
        <v>8</v>
      </c>
      <c r="F1695">
        <f t="shared" si="21"/>
        <v>13</v>
      </c>
      <c r="G1695">
        <v>25</v>
      </c>
      <c r="H1695">
        <f t="shared" si="22"/>
        <v>30</v>
      </c>
    </row>
    <row r="1696" spans="1:8" x14ac:dyDescent="0.25">
      <c r="A1696" s="10">
        <v>2286</v>
      </c>
      <c r="B1696" s="1" t="s">
        <v>2432</v>
      </c>
      <c r="C1696" s="2" t="s">
        <v>2415</v>
      </c>
      <c r="D1696" s="1" t="s">
        <v>2429</v>
      </c>
      <c r="E1696">
        <v>5</v>
      </c>
      <c r="F1696">
        <f t="shared" si="21"/>
        <v>10</v>
      </c>
      <c r="G1696">
        <v>20</v>
      </c>
      <c r="H1696">
        <f t="shared" si="22"/>
        <v>25</v>
      </c>
    </row>
    <row r="1697" spans="1:8" x14ac:dyDescent="0.25">
      <c r="A1697" s="10">
        <v>2287</v>
      </c>
      <c r="B1697" s="1" t="s">
        <v>2432</v>
      </c>
      <c r="C1697" s="2" t="s">
        <v>2417</v>
      </c>
      <c r="D1697" s="1" t="s">
        <v>2429</v>
      </c>
      <c r="E1697">
        <v>10</v>
      </c>
      <c r="F1697">
        <f t="shared" si="21"/>
        <v>15</v>
      </c>
      <c r="G1697">
        <v>20</v>
      </c>
      <c r="H1697">
        <f t="shared" si="22"/>
        <v>25</v>
      </c>
    </row>
    <row r="1698" spans="1:8" x14ac:dyDescent="0.25">
      <c r="A1698" s="10">
        <v>2288</v>
      </c>
      <c r="B1698" s="1" t="s">
        <v>2432</v>
      </c>
      <c r="C1698" s="2" t="s">
        <v>2416</v>
      </c>
      <c r="D1698" s="1" t="s">
        <v>2429</v>
      </c>
      <c r="E1698">
        <v>15</v>
      </c>
      <c r="F1698">
        <f t="shared" si="21"/>
        <v>20</v>
      </c>
      <c r="G1698">
        <v>30</v>
      </c>
      <c r="H1698">
        <f t="shared" si="22"/>
        <v>35</v>
      </c>
    </row>
    <row r="1700" spans="1:8" x14ac:dyDescent="0.25">
      <c r="A1700" s="10">
        <v>2289</v>
      </c>
      <c r="B1700" s="1" t="s">
        <v>2430</v>
      </c>
      <c r="C1700" s="2" t="s">
        <v>2418</v>
      </c>
      <c r="D1700" s="1" t="s">
        <v>2427</v>
      </c>
      <c r="E1700">
        <v>8</v>
      </c>
      <c r="F1700">
        <f t="shared" si="21"/>
        <v>13</v>
      </c>
      <c r="G1700">
        <v>20</v>
      </c>
      <c r="H1700">
        <f t="shared" si="22"/>
        <v>25</v>
      </c>
    </row>
    <row r="1701" spans="1:8" x14ac:dyDescent="0.25">
      <c r="A1701" s="10">
        <v>2290</v>
      </c>
      <c r="B1701" s="1" t="s">
        <v>2430</v>
      </c>
      <c r="C1701" s="2" t="s">
        <v>2419</v>
      </c>
      <c r="D1701" s="1" t="s">
        <v>2427</v>
      </c>
      <c r="E1701">
        <v>12</v>
      </c>
      <c r="F1701">
        <f t="shared" si="21"/>
        <v>17</v>
      </c>
      <c r="G1701">
        <v>30</v>
      </c>
      <c r="H1701">
        <f t="shared" si="22"/>
        <v>35</v>
      </c>
    </row>
    <row r="1702" spans="1:8" x14ac:dyDescent="0.25">
      <c r="A1702" s="10">
        <v>2291</v>
      </c>
      <c r="B1702" s="1" t="s">
        <v>2430</v>
      </c>
      <c r="C1702" s="2" t="s">
        <v>2420</v>
      </c>
      <c r="D1702" s="1" t="s">
        <v>2427</v>
      </c>
      <c r="E1702">
        <v>25</v>
      </c>
      <c r="F1702">
        <f t="shared" si="21"/>
        <v>30</v>
      </c>
      <c r="G1702">
        <v>50</v>
      </c>
      <c r="H1702">
        <f t="shared" si="22"/>
        <v>55</v>
      </c>
    </row>
    <row r="1703" spans="1:8" x14ac:dyDescent="0.25">
      <c r="A1703" s="10">
        <v>2292</v>
      </c>
      <c r="B1703" s="1" t="s">
        <v>2431</v>
      </c>
      <c r="C1703" s="2" t="s">
        <v>2421</v>
      </c>
      <c r="D1703" s="1" t="s">
        <v>2428</v>
      </c>
      <c r="E1703">
        <v>10</v>
      </c>
      <c r="F1703">
        <f t="shared" si="21"/>
        <v>15</v>
      </c>
      <c r="G1703">
        <v>15</v>
      </c>
      <c r="H1703">
        <f t="shared" si="22"/>
        <v>20</v>
      </c>
    </row>
    <row r="1704" spans="1:8" x14ac:dyDescent="0.25">
      <c r="A1704" s="10">
        <v>2293</v>
      </c>
      <c r="B1704" s="1" t="s">
        <v>2431</v>
      </c>
      <c r="C1704" s="2" t="s">
        <v>2422</v>
      </c>
      <c r="D1704" s="1" t="s">
        <v>2428</v>
      </c>
      <c r="E1704">
        <v>12</v>
      </c>
      <c r="F1704">
        <f t="shared" si="21"/>
        <v>17</v>
      </c>
      <c r="G1704">
        <v>20</v>
      </c>
      <c r="H1704">
        <f t="shared" si="22"/>
        <v>25</v>
      </c>
    </row>
    <row r="1705" spans="1:8" x14ac:dyDescent="0.25">
      <c r="A1705" s="10">
        <v>2294</v>
      </c>
      <c r="B1705" s="1" t="s">
        <v>2431</v>
      </c>
      <c r="C1705" s="2" t="s">
        <v>2423</v>
      </c>
      <c r="D1705" s="1" t="s">
        <v>2428</v>
      </c>
      <c r="E1705">
        <v>15</v>
      </c>
      <c r="F1705">
        <f t="shared" si="21"/>
        <v>20</v>
      </c>
      <c r="G1705">
        <v>30</v>
      </c>
      <c r="H1705">
        <f t="shared" si="22"/>
        <v>35</v>
      </c>
    </row>
    <row r="1706" spans="1:8" x14ac:dyDescent="0.25">
      <c r="A1706" s="10">
        <v>2295</v>
      </c>
      <c r="B1706" s="1" t="s">
        <v>2432</v>
      </c>
      <c r="C1706" s="2" t="s">
        <v>2424</v>
      </c>
      <c r="D1706" s="1" t="s">
        <v>2429</v>
      </c>
      <c r="E1706">
        <v>20</v>
      </c>
      <c r="F1706">
        <f t="shared" si="21"/>
        <v>25</v>
      </c>
      <c r="G1706">
        <v>30</v>
      </c>
      <c r="H1706">
        <f t="shared" si="22"/>
        <v>35</v>
      </c>
    </row>
    <row r="1707" spans="1:8" x14ac:dyDescent="0.25">
      <c r="A1707" s="10">
        <v>2296</v>
      </c>
      <c r="B1707" s="1" t="s">
        <v>2432</v>
      </c>
      <c r="C1707" s="2" t="s">
        <v>2425</v>
      </c>
      <c r="D1707" s="1" t="s">
        <v>2429</v>
      </c>
      <c r="E1707">
        <v>28</v>
      </c>
      <c r="F1707">
        <f t="shared" si="21"/>
        <v>33</v>
      </c>
      <c r="G1707">
        <v>40</v>
      </c>
      <c r="H1707">
        <f t="shared" si="22"/>
        <v>45</v>
      </c>
    </row>
    <row r="1708" spans="1:8" x14ac:dyDescent="0.25">
      <c r="A1708" s="10">
        <v>2297</v>
      </c>
      <c r="B1708" s="1" t="s">
        <v>2432</v>
      </c>
      <c r="C1708" s="2" t="s">
        <v>2426</v>
      </c>
      <c r="D1708" s="1" t="s">
        <v>2429</v>
      </c>
      <c r="E1708">
        <v>40</v>
      </c>
      <c r="F1708">
        <f t="shared" si="21"/>
        <v>45</v>
      </c>
      <c r="G1708">
        <v>60</v>
      </c>
      <c r="H1708">
        <f t="shared" si="22"/>
        <v>65</v>
      </c>
    </row>
    <row r="1710" spans="1:8" x14ac:dyDescent="0.25">
      <c r="A1710" s="10">
        <v>2298</v>
      </c>
      <c r="B1710" s="1" t="s">
        <v>2436</v>
      </c>
      <c r="C1710" s="2" t="s">
        <v>2433</v>
      </c>
      <c r="D1710" s="1" t="s">
        <v>2437</v>
      </c>
      <c r="E1710">
        <v>1.5</v>
      </c>
      <c r="F1710">
        <v>3</v>
      </c>
      <c r="G1710">
        <v>5</v>
      </c>
      <c r="H1710">
        <v>7</v>
      </c>
    </row>
    <row r="1711" spans="1:8" x14ac:dyDescent="0.25">
      <c r="A1711" s="10">
        <v>2299</v>
      </c>
      <c r="B1711" s="1" t="s">
        <v>2436</v>
      </c>
      <c r="C1711" s="2" t="s">
        <v>2434</v>
      </c>
      <c r="D1711" s="1" t="s">
        <v>2437</v>
      </c>
      <c r="E1711">
        <v>2</v>
      </c>
      <c r="F1711">
        <v>3</v>
      </c>
      <c r="G1711">
        <v>5</v>
      </c>
      <c r="H1711">
        <v>7</v>
      </c>
    </row>
    <row r="1712" spans="1:8" x14ac:dyDescent="0.25">
      <c r="A1712" s="10">
        <v>2300</v>
      </c>
      <c r="B1712" s="1" t="s">
        <v>2436</v>
      </c>
      <c r="C1712" s="2" t="s">
        <v>2435</v>
      </c>
      <c r="D1712" s="1" t="s">
        <v>2437</v>
      </c>
      <c r="E1712">
        <v>2.5</v>
      </c>
      <c r="F1712">
        <v>4</v>
      </c>
      <c r="G1712">
        <v>7.5</v>
      </c>
      <c r="H1712">
        <v>9</v>
      </c>
    </row>
    <row r="1714" spans="1:8" x14ac:dyDescent="0.25">
      <c r="A1714" s="10">
        <v>2301</v>
      </c>
      <c r="B1714" s="1" t="s">
        <v>2441</v>
      </c>
      <c r="C1714" s="2" t="s">
        <v>2438</v>
      </c>
      <c r="D1714" s="1" t="s">
        <v>2439</v>
      </c>
      <c r="E1714">
        <v>2550</v>
      </c>
      <c r="F1714">
        <v>2700</v>
      </c>
      <c r="G1714">
        <v>3000</v>
      </c>
      <c r="H1714">
        <v>3500</v>
      </c>
    </row>
    <row r="1715" spans="1:8" x14ac:dyDescent="0.25">
      <c r="A1715" s="10">
        <v>2302</v>
      </c>
      <c r="B1715" s="1" t="s">
        <v>2441</v>
      </c>
      <c r="C1715" s="2" t="s">
        <v>2439</v>
      </c>
      <c r="D1715" s="1" t="s">
        <v>2439</v>
      </c>
      <c r="E1715">
        <v>960</v>
      </c>
      <c r="F1715">
        <v>1100</v>
      </c>
      <c r="G1715">
        <v>1350</v>
      </c>
      <c r="H1715">
        <v>1495</v>
      </c>
    </row>
    <row r="1716" spans="1:8" x14ac:dyDescent="0.25">
      <c r="A1716" s="10">
        <v>2303</v>
      </c>
      <c r="B1716" s="1" t="s">
        <v>2441</v>
      </c>
      <c r="C1716" s="2" t="s">
        <v>2440</v>
      </c>
      <c r="D1716" s="1" t="s">
        <v>2439</v>
      </c>
      <c r="E1716">
        <v>400</v>
      </c>
      <c r="F1716">
        <v>500</v>
      </c>
      <c r="G1716">
        <v>650</v>
      </c>
      <c r="H1716">
        <v>975</v>
      </c>
    </row>
    <row r="1718" spans="1:8" x14ac:dyDescent="0.25">
      <c r="A1718" s="10">
        <v>2304</v>
      </c>
      <c r="B1718" s="1" t="s">
        <v>2445</v>
      </c>
      <c r="C1718" s="2" t="s">
        <v>2442</v>
      </c>
      <c r="D1718" s="1" t="s">
        <v>2446</v>
      </c>
      <c r="E1718">
        <v>123</v>
      </c>
      <c r="F1718">
        <f>SUM(E1718+20)</f>
        <v>143</v>
      </c>
      <c r="G1718">
        <v>180</v>
      </c>
      <c r="H1718">
        <v>180</v>
      </c>
    </row>
    <row r="1719" spans="1:8" x14ac:dyDescent="0.25">
      <c r="A1719" s="10">
        <v>2305</v>
      </c>
      <c r="B1719" s="1" t="s">
        <v>2445</v>
      </c>
      <c r="C1719" s="2" t="s">
        <v>2443</v>
      </c>
      <c r="D1719" s="1" t="s">
        <v>2446</v>
      </c>
      <c r="E1719">
        <v>134</v>
      </c>
      <c r="F1719">
        <f t="shared" ref="F1719:F1748" si="23">SUM(E1719+20)</f>
        <v>154</v>
      </c>
      <c r="G1719">
        <v>160</v>
      </c>
      <c r="H1719">
        <v>175</v>
      </c>
    </row>
    <row r="1720" spans="1:8" x14ac:dyDescent="0.25">
      <c r="A1720" s="10">
        <v>2306</v>
      </c>
      <c r="B1720" s="1" t="s">
        <v>2445</v>
      </c>
      <c r="C1720" s="2" t="s">
        <v>2444</v>
      </c>
      <c r="D1720" s="1" t="s">
        <v>2446</v>
      </c>
      <c r="E1720">
        <v>35</v>
      </c>
      <c r="F1720">
        <f t="shared" si="23"/>
        <v>55</v>
      </c>
      <c r="G1720">
        <v>100</v>
      </c>
      <c r="H1720">
        <v>125</v>
      </c>
    </row>
    <row r="1721" spans="1:8" x14ac:dyDescent="0.25">
      <c r="C1721" s="2"/>
    </row>
    <row r="1722" spans="1:8" x14ac:dyDescent="0.25">
      <c r="A1722" s="10">
        <v>2307</v>
      </c>
      <c r="B1722" s="1" t="s">
        <v>2480</v>
      </c>
      <c r="C1722" s="2" t="s">
        <v>2454</v>
      </c>
      <c r="D1722" s="1" t="s">
        <v>2477</v>
      </c>
      <c r="E1722">
        <v>103</v>
      </c>
      <c r="F1722">
        <f t="shared" si="23"/>
        <v>123</v>
      </c>
      <c r="G1722">
        <v>140</v>
      </c>
      <c r="H1722">
        <v>162</v>
      </c>
    </row>
    <row r="1723" spans="1:8" x14ac:dyDescent="0.25">
      <c r="A1723" s="10">
        <v>2308</v>
      </c>
      <c r="B1723" s="1" t="s">
        <v>2480</v>
      </c>
      <c r="C1723" s="2" t="s">
        <v>2455</v>
      </c>
      <c r="D1723" s="1" t="s">
        <v>2477</v>
      </c>
      <c r="E1723">
        <v>207.2</v>
      </c>
      <c r="F1723">
        <f t="shared" si="23"/>
        <v>227.2</v>
      </c>
      <c r="G1723">
        <v>280</v>
      </c>
      <c r="H1723">
        <v>320</v>
      </c>
    </row>
    <row r="1724" spans="1:8" x14ac:dyDescent="0.25">
      <c r="A1724" s="10">
        <v>2309</v>
      </c>
      <c r="B1724" s="1" t="s">
        <v>2480</v>
      </c>
      <c r="C1724" s="2" t="s">
        <v>2456</v>
      </c>
      <c r="D1724" s="1" t="s">
        <v>2477</v>
      </c>
      <c r="E1724">
        <v>328</v>
      </c>
      <c r="F1724">
        <f t="shared" si="23"/>
        <v>348</v>
      </c>
      <c r="G1724">
        <v>420</v>
      </c>
      <c r="H1724">
        <v>480</v>
      </c>
    </row>
    <row r="1725" spans="1:8" x14ac:dyDescent="0.25">
      <c r="A1725" s="10">
        <v>2310</v>
      </c>
      <c r="B1725" s="1" t="s">
        <v>2480</v>
      </c>
      <c r="C1725" s="2" t="s">
        <v>2457</v>
      </c>
      <c r="D1725" s="1" t="s">
        <v>2477</v>
      </c>
      <c r="E1725">
        <v>420</v>
      </c>
      <c r="F1725">
        <f t="shared" si="23"/>
        <v>440</v>
      </c>
      <c r="G1725">
        <v>560</v>
      </c>
      <c r="H1725">
        <v>650</v>
      </c>
    </row>
    <row r="1726" spans="1:8" x14ac:dyDescent="0.25">
      <c r="A1726" s="10">
        <v>2311</v>
      </c>
      <c r="B1726" s="1" t="s">
        <v>2480</v>
      </c>
      <c r="C1726" s="2" t="s">
        <v>2458</v>
      </c>
      <c r="D1726" s="1" t="s">
        <v>2477</v>
      </c>
      <c r="E1726">
        <v>105</v>
      </c>
      <c r="F1726">
        <f t="shared" si="23"/>
        <v>125</v>
      </c>
      <c r="G1726">
        <v>140</v>
      </c>
      <c r="H1726">
        <v>162</v>
      </c>
    </row>
    <row r="1727" spans="1:8" x14ac:dyDescent="0.25">
      <c r="A1727" s="10">
        <v>2312</v>
      </c>
      <c r="B1727" s="1" t="s">
        <v>2480</v>
      </c>
      <c r="C1727" s="2" t="s">
        <v>2459</v>
      </c>
      <c r="D1727" s="1" t="s">
        <v>2477</v>
      </c>
      <c r="E1727">
        <v>55</v>
      </c>
      <c r="F1727">
        <f t="shared" si="23"/>
        <v>75</v>
      </c>
      <c r="G1727">
        <v>140</v>
      </c>
      <c r="H1727">
        <v>155</v>
      </c>
    </row>
    <row r="1728" spans="1:8" x14ac:dyDescent="0.25">
      <c r="A1728" s="10">
        <v>2313</v>
      </c>
      <c r="B1728" s="1" t="s">
        <v>2480</v>
      </c>
      <c r="C1728" s="2" t="s">
        <v>2460</v>
      </c>
      <c r="D1728" s="1" t="s">
        <v>2477</v>
      </c>
      <c r="E1728">
        <v>120</v>
      </c>
      <c r="F1728">
        <f t="shared" si="23"/>
        <v>140</v>
      </c>
      <c r="G1728">
        <v>220</v>
      </c>
      <c r="H1728">
        <v>235</v>
      </c>
    </row>
    <row r="1729" spans="1:8" x14ac:dyDescent="0.25">
      <c r="A1729" s="10">
        <v>2314</v>
      </c>
      <c r="B1729" s="1" t="s">
        <v>2480</v>
      </c>
      <c r="C1729" s="2" t="s">
        <v>2461</v>
      </c>
      <c r="D1729" s="1" t="s">
        <v>2477</v>
      </c>
      <c r="E1729">
        <v>55</v>
      </c>
      <c r="F1729">
        <f t="shared" si="23"/>
        <v>75</v>
      </c>
      <c r="G1729">
        <v>100</v>
      </c>
      <c r="H1729">
        <v>120</v>
      </c>
    </row>
    <row r="1730" spans="1:8" x14ac:dyDescent="0.25">
      <c r="A1730" s="10">
        <v>2315</v>
      </c>
      <c r="B1730" s="1" t="s">
        <v>2480</v>
      </c>
      <c r="C1730" s="2" t="s">
        <v>2458</v>
      </c>
      <c r="D1730" s="1" t="s">
        <v>2477</v>
      </c>
      <c r="E1730">
        <v>105</v>
      </c>
      <c r="F1730">
        <f t="shared" si="23"/>
        <v>125</v>
      </c>
      <c r="G1730">
        <v>140</v>
      </c>
      <c r="H1730">
        <v>162</v>
      </c>
    </row>
    <row r="1731" spans="1:8" x14ac:dyDescent="0.25">
      <c r="A1731" s="10">
        <v>2316</v>
      </c>
      <c r="B1731" s="1" t="s">
        <v>2480</v>
      </c>
      <c r="C1731" s="2" t="s">
        <v>2462</v>
      </c>
      <c r="D1731" s="1" t="s">
        <v>2477</v>
      </c>
      <c r="E1731">
        <v>75</v>
      </c>
      <c r="F1731">
        <f t="shared" si="23"/>
        <v>95</v>
      </c>
      <c r="G1731">
        <v>100</v>
      </c>
      <c r="H1731">
        <v>140</v>
      </c>
    </row>
    <row r="1732" spans="1:8" x14ac:dyDescent="0.25">
      <c r="A1732" s="10">
        <v>2317</v>
      </c>
      <c r="B1732" s="1" t="s">
        <v>2480</v>
      </c>
      <c r="C1732" s="2" t="s">
        <v>2463</v>
      </c>
      <c r="D1732" s="1" t="s">
        <v>2477</v>
      </c>
      <c r="E1732">
        <v>81</v>
      </c>
      <c r="F1732">
        <f t="shared" si="23"/>
        <v>101</v>
      </c>
      <c r="G1732">
        <v>110</v>
      </c>
      <c r="H1732">
        <v>122</v>
      </c>
    </row>
    <row r="1733" spans="1:8" x14ac:dyDescent="0.25">
      <c r="A1733" s="10">
        <v>2318</v>
      </c>
      <c r="B1733" s="1" t="s">
        <v>2480</v>
      </c>
      <c r="C1733" s="2" t="s">
        <v>2464</v>
      </c>
      <c r="D1733" s="1" t="s">
        <v>2477</v>
      </c>
      <c r="E1733">
        <v>35</v>
      </c>
      <c r="F1733">
        <f t="shared" si="23"/>
        <v>55</v>
      </c>
      <c r="G1733">
        <v>70</v>
      </c>
      <c r="H1733">
        <v>78</v>
      </c>
    </row>
    <row r="1735" spans="1:8" x14ac:dyDescent="0.25">
      <c r="A1735" s="10">
        <v>2319</v>
      </c>
      <c r="B1735" s="1" t="s">
        <v>4338</v>
      </c>
      <c r="C1735" s="2" t="s">
        <v>2447</v>
      </c>
      <c r="D1735" s="1" t="s">
        <v>2478</v>
      </c>
      <c r="E1735">
        <v>148.9</v>
      </c>
      <c r="F1735">
        <f t="shared" si="23"/>
        <v>168.9</v>
      </c>
      <c r="G1735">
        <v>200</v>
      </c>
      <c r="H1735">
        <v>230</v>
      </c>
    </row>
    <row r="1736" spans="1:8" x14ac:dyDescent="0.25">
      <c r="A1736" s="10">
        <v>2320</v>
      </c>
      <c r="B1736" s="1" t="s">
        <v>4338</v>
      </c>
      <c r="C1736" s="2" t="s">
        <v>2448</v>
      </c>
      <c r="D1736" s="1" t="s">
        <v>2478</v>
      </c>
      <c r="E1736">
        <v>165</v>
      </c>
      <c r="F1736">
        <f t="shared" si="23"/>
        <v>185</v>
      </c>
      <c r="G1736">
        <v>220</v>
      </c>
      <c r="H1736">
        <v>255</v>
      </c>
    </row>
    <row r="1737" spans="1:8" x14ac:dyDescent="0.25">
      <c r="A1737" s="10">
        <v>2321</v>
      </c>
      <c r="B1737" s="1" t="s">
        <v>4338</v>
      </c>
      <c r="C1737" s="2" t="s">
        <v>2449</v>
      </c>
      <c r="D1737" s="1" t="s">
        <v>2478</v>
      </c>
      <c r="E1737">
        <v>295</v>
      </c>
      <c r="F1737">
        <f t="shared" si="23"/>
        <v>315</v>
      </c>
      <c r="G1737">
        <v>380</v>
      </c>
      <c r="H1737">
        <v>455</v>
      </c>
    </row>
    <row r="1738" spans="1:8" x14ac:dyDescent="0.25">
      <c r="A1738" s="10">
        <v>2322</v>
      </c>
      <c r="B1738" s="1" t="s">
        <v>4338</v>
      </c>
      <c r="C1738" s="2" t="s">
        <v>4341</v>
      </c>
      <c r="D1738" s="1" t="s">
        <v>2478</v>
      </c>
      <c r="E1738">
        <v>38</v>
      </c>
      <c r="F1738">
        <f t="shared" si="23"/>
        <v>58</v>
      </c>
      <c r="G1738">
        <v>70</v>
      </c>
      <c r="H1738">
        <v>85</v>
      </c>
    </row>
    <row r="1739" spans="1:8" x14ac:dyDescent="0.25">
      <c r="A1739" s="10">
        <v>2323</v>
      </c>
      <c r="B1739" s="1" t="s">
        <v>4338</v>
      </c>
      <c r="C1739" s="2" t="s">
        <v>4339</v>
      </c>
      <c r="D1739" s="1" t="s">
        <v>2478</v>
      </c>
      <c r="E1739">
        <v>55</v>
      </c>
      <c r="F1739">
        <f t="shared" si="23"/>
        <v>75</v>
      </c>
      <c r="G1739">
        <v>100</v>
      </c>
      <c r="H1739">
        <v>115</v>
      </c>
    </row>
    <row r="1740" spans="1:8" x14ac:dyDescent="0.25">
      <c r="A1740" s="10">
        <v>2324</v>
      </c>
      <c r="B1740" s="1" t="s">
        <v>4338</v>
      </c>
      <c r="C1740" s="2" t="s">
        <v>4340</v>
      </c>
      <c r="D1740" s="1" t="s">
        <v>2478</v>
      </c>
      <c r="E1740">
        <v>70</v>
      </c>
      <c r="F1740">
        <f t="shared" si="23"/>
        <v>90</v>
      </c>
      <c r="G1740">
        <v>130</v>
      </c>
      <c r="H1740">
        <v>145</v>
      </c>
    </row>
    <row r="1741" spans="1:8" x14ac:dyDescent="0.25">
      <c r="A1741" s="10">
        <v>2325</v>
      </c>
      <c r="B1741" s="1" t="s">
        <v>4338</v>
      </c>
      <c r="C1741" s="2" t="s">
        <v>4344</v>
      </c>
      <c r="D1741" s="1" t="s">
        <v>2478</v>
      </c>
      <c r="E1741">
        <v>130</v>
      </c>
      <c r="F1741">
        <f t="shared" si="23"/>
        <v>150</v>
      </c>
      <c r="G1741">
        <v>200</v>
      </c>
      <c r="H1741">
        <v>220</v>
      </c>
    </row>
    <row r="1742" spans="1:8" x14ac:dyDescent="0.25">
      <c r="A1742" s="10">
        <v>2326</v>
      </c>
      <c r="B1742" s="1" t="s">
        <v>4338</v>
      </c>
      <c r="C1742" s="2" t="s">
        <v>4343</v>
      </c>
      <c r="D1742" s="1" t="s">
        <v>2478</v>
      </c>
      <c r="E1742">
        <v>130</v>
      </c>
      <c r="F1742">
        <f t="shared" si="23"/>
        <v>150</v>
      </c>
      <c r="G1742">
        <v>200</v>
      </c>
      <c r="H1742">
        <v>220</v>
      </c>
    </row>
    <row r="1743" spans="1:8" x14ac:dyDescent="0.25">
      <c r="A1743" s="10">
        <v>2327</v>
      </c>
      <c r="B1743" s="1" t="s">
        <v>4338</v>
      </c>
      <c r="C1743" s="2" t="s">
        <v>2450</v>
      </c>
      <c r="D1743" s="1" t="s">
        <v>2478</v>
      </c>
      <c r="E1743">
        <v>230</v>
      </c>
      <c r="F1743">
        <f t="shared" si="23"/>
        <v>250</v>
      </c>
      <c r="G1743">
        <v>320</v>
      </c>
      <c r="H1743">
        <v>355</v>
      </c>
    </row>
    <row r="1744" spans="1:8" x14ac:dyDescent="0.25">
      <c r="A1744" s="10">
        <v>2328</v>
      </c>
      <c r="B1744" s="1" t="s">
        <v>4338</v>
      </c>
      <c r="C1744" s="2" t="s">
        <v>2451</v>
      </c>
      <c r="D1744" s="1" t="s">
        <v>2478</v>
      </c>
      <c r="E1744">
        <v>230</v>
      </c>
      <c r="F1744">
        <f t="shared" si="23"/>
        <v>250</v>
      </c>
      <c r="G1744">
        <v>320</v>
      </c>
      <c r="H1744">
        <v>355</v>
      </c>
    </row>
    <row r="1745" spans="1:8" x14ac:dyDescent="0.25">
      <c r="A1745" s="10">
        <v>2329</v>
      </c>
      <c r="B1745" s="1" t="s">
        <v>4338</v>
      </c>
      <c r="C1745" s="2" t="s">
        <v>4342</v>
      </c>
      <c r="D1745" s="1" t="s">
        <v>2478</v>
      </c>
      <c r="E1745">
        <v>60</v>
      </c>
      <c r="F1745">
        <f t="shared" si="23"/>
        <v>80</v>
      </c>
      <c r="G1745">
        <v>100</v>
      </c>
      <c r="H1745">
        <v>125</v>
      </c>
    </row>
    <row r="1746" spans="1:8" x14ac:dyDescent="0.25">
      <c r="A1746" s="10">
        <v>2330</v>
      </c>
      <c r="B1746" s="1" t="s">
        <v>4338</v>
      </c>
      <c r="C1746" s="2" t="s">
        <v>4346</v>
      </c>
      <c r="D1746" s="1" t="s">
        <v>2478</v>
      </c>
      <c r="E1746">
        <v>60</v>
      </c>
      <c r="F1746">
        <f t="shared" si="23"/>
        <v>80</v>
      </c>
      <c r="G1746">
        <v>100</v>
      </c>
      <c r="H1746">
        <v>125</v>
      </c>
    </row>
    <row r="1747" spans="1:8" x14ac:dyDescent="0.25">
      <c r="A1747" s="10">
        <v>2331</v>
      </c>
      <c r="B1747" s="1" t="s">
        <v>4338</v>
      </c>
      <c r="C1747" s="2" t="s">
        <v>2452</v>
      </c>
      <c r="D1747" s="1" t="s">
        <v>2478</v>
      </c>
      <c r="E1747">
        <v>191</v>
      </c>
      <c r="F1747">
        <f t="shared" si="23"/>
        <v>211</v>
      </c>
      <c r="G1747">
        <v>240</v>
      </c>
      <c r="H1747">
        <v>295</v>
      </c>
    </row>
    <row r="1748" spans="1:8" x14ac:dyDescent="0.25">
      <c r="A1748" s="10">
        <v>2332</v>
      </c>
      <c r="B1748" s="1" t="s">
        <v>4338</v>
      </c>
      <c r="C1748" s="2" t="s">
        <v>4345</v>
      </c>
      <c r="D1748" s="1" t="s">
        <v>2478</v>
      </c>
      <c r="E1748">
        <v>25</v>
      </c>
      <c r="F1748">
        <f t="shared" si="23"/>
        <v>45</v>
      </c>
      <c r="G1748">
        <v>50</v>
      </c>
      <c r="H1748">
        <v>55</v>
      </c>
    </row>
    <row r="1749" spans="1:8" x14ac:dyDescent="0.25">
      <c r="A1749" s="10">
        <v>2333</v>
      </c>
      <c r="B1749" s="1" t="s">
        <v>4338</v>
      </c>
      <c r="C1749" s="2" t="s">
        <v>2453</v>
      </c>
      <c r="D1749" s="1" t="s">
        <v>2478</v>
      </c>
    </row>
    <row r="1751" spans="1:8" x14ac:dyDescent="0.25">
      <c r="A1751" s="10">
        <v>2334</v>
      </c>
      <c r="B1751" s="1" t="s">
        <v>2479</v>
      </c>
      <c r="C1751" s="2" t="s">
        <v>2482</v>
      </c>
      <c r="D1751" s="1" t="s">
        <v>2484</v>
      </c>
      <c r="E1751">
        <v>207</v>
      </c>
      <c r="F1751">
        <f>SUM(E1751+40)</f>
        <v>247</v>
      </c>
      <c r="G1751">
        <v>290</v>
      </c>
      <c r="H1751">
        <v>320</v>
      </c>
    </row>
    <row r="1752" spans="1:8" x14ac:dyDescent="0.25">
      <c r="A1752" s="10">
        <v>2335</v>
      </c>
      <c r="B1752" s="1" t="s">
        <v>2479</v>
      </c>
      <c r="C1752" s="2" t="s">
        <v>2483</v>
      </c>
      <c r="D1752" s="1" t="s">
        <v>2484</v>
      </c>
      <c r="E1752">
        <v>308</v>
      </c>
      <c r="F1752">
        <f t="shared" ref="F1752:F1764" si="24">SUM(E1752+40)</f>
        <v>348</v>
      </c>
      <c r="G1752">
        <v>400</v>
      </c>
      <c r="H1752">
        <v>440</v>
      </c>
    </row>
    <row r="1753" spans="1:8" x14ac:dyDescent="0.25">
      <c r="A1753" s="10">
        <v>2336</v>
      </c>
      <c r="B1753" s="1" t="s">
        <v>2479</v>
      </c>
      <c r="C1753" s="2" t="s">
        <v>2467</v>
      </c>
      <c r="D1753" s="1" t="s">
        <v>2484</v>
      </c>
      <c r="E1753">
        <v>1075</v>
      </c>
      <c r="F1753">
        <f t="shared" si="24"/>
        <v>1115</v>
      </c>
      <c r="G1753">
        <v>1450</v>
      </c>
      <c r="H1753">
        <v>1660</v>
      </c>
    </row>
    <row r="1754" spans="1:8" x14ac:dyDescent="0.25">
      <c r="A1754" s="10">
        <v>2337</v>
      </c>
      <c r="B1754" s="1" t="s">
        <v>2479</v>
      </c>
      <c r="C1754" s="2" t="s">
        <v>2468</v>
      </c>
      <c r="D1754" s="1" t="s">
        <v>2484</v>
      </c>
      <c r="E1754">
        <v>1250</v>
      </c>
      <c r="F1754">
        <f t="shared" si="24"/>
        <v>1290</v>
      </c>
      <c r="G1754">
        <v>1650</v>
      </c>
      <c r="H1754">
        <v>1930</v>
      </c>
    </row>
    <row r="1755" spans="1:8" x14ac:dyDescent="0.25">
      <c r="A1755" s="10">
        <v>2338</v>
      </c>
      <c r="B1755" s="1" t="s">
        <v>2479</v>
      </c>
      <c r="C1755" s="2" t="s">
        <v>2469</v>
      </c>
      <c r="D1755" s="1" t="s">
        <v>2484</v>
      </c>
      <c r="E1755">
        <v>1476</v>
      </c>
      <c r="F1755">
        <f t="shared" si="24"/>
        <v>1516</v>
      </c>
      <c r="G1755">
        <v>1900</v>
      </c>
      <c r="H1755">
        <v>2280</v>
      </c>
    </row>
    <row r="1756" spans="1:8" x14ac:dyDescent="0.25">
      <c r="A1756" s="10">
        <v>2339</v>
      </c>
      <c r="B1756" s="1" t="s">
        <v>2479</v>
      </c>
      <c r="C1756" s="2" t="s">
        <v>2470</v>
      </c>
      <c r="D1756" s="1" t="s">
        <v>2484</v>
      </c>
      <c r="E1756">
        <v>2402</v>
      </c>
      <c r="F1756">
        <f t="shared" si="24"/>
        <v>2442</v>
      </c>
      <c r="G1756">
        <v>2950</v>
      </c>
      <c r="H1756">
        <v>3710</v>
      </c>
    </row>
    <row r="1757" spans="1:8" x14ac:dyDescent="0.25">
      <c r="A1757" s="10">
        <v>2340</v>
      </c>
      <c r="B1757" s="1" t="s">
        <v>2479</v>
      </c>
      <c r="C1757" s="2" t="s">
        <v>2465</v>
      </c>
      <c r="D1757" s="1" t="s">
        <v>2484</v>
      </c>
      <c r="E1757">
        <v>906</v>
      </c>
      <c r="F1757">
        <f t="shared" si="24"/>
        <v>946</v>
      </c>
      <c r="G1757">
        <v>1150</v>
      </c>
      <c r="H1757">
        <v>1400</v>
      </c>
    </row>
    <row r="1758" spans="1:8" x14ac:dyDescent="0.25">
      <c r="A1758" s="10">
        <v>2341</v>
      </c>
      <c r="B1758" s="1" t="s">
        <v>2479</v>
      </c>
      <c r="C1758" s="2" t="s">
        <v>2466</v>
      </c>
      <c r="D1758" s="1" t="s">
        <v>2484</v>
      </c>
      <c r="E1758">
        <v>1133</v>
      </c>
      <c r="F1758">
        <f t="shared" si="24"/>
        <v>1173</v>
      </c>
      <c r="G1758">
        <v>1480</v>
      </c>
      <c r="H1758">
        <v>1750</v>
      </c>
    </row>
    <row r="1759" spans="1:8" x14ac:dyDescent="0.25">
      <c r="A1759" s="10">
        <v>2342</v>
      </c>
      <c r="B1759" s="1" t="s">
        <v>2479</v>
      </c>
      <c r="C1759" s="2" t="s">
        <v>2471</v>
      </c>
      <c r="D1759" s="1" t="s">
        <v>2484</v>
      </c>
      <c r="E1759">
        <v>1260</v>
      </c>
      <c r="F1759">
        <f t="shared" si="24"/>
        <v>1300</v>
      </c>
      <c r="G1759">
        <v>1650</v>
      </c>
      <c r="H1759">
        <v>1950</v>
      </c>
    </row>
    <row r="1760" spans="1:8" x14ac:dyDescent="0.25">
      <c r="A1760" s="10">
        <v>2343</v>
      </c>
      <c r="B1760" s="1" t="s">
        <v>2479</v>
      </c>
      <c r="C1760" s="2" t="s">
        <v>2472</v>
      </c>
      <c r="D1760" s="1" t="s">
        <v>2484</v>
      </c>
      <c r="E1760">
        <v>1780</v>
      </c>
      <c r="F1760">
        <f t="shared" si="24"/>
        <v>1820</v>
      </c>
      <c r="G1760">
        <v>2300</v>
      </c>
      <c r="H1760">
        <v>2750</v>
      </c>
    </row>
    <row r="1761" spans="1:8" x14ac:dyDescent="0.25">
      <c r="A1761" s="10">
        <v>2344</v>
      </c>
      <c r="B1761" s="1" t="s">
        <v>2479</v>
      </c>
      <c r="C1761" s="2" t="s">
        <v>2473</v>
      </c>
      <c r="D1761" s="1" t="s">
        <v>2484</v>
      </c>
      <c r="E1761">
        <v>1910</v>
      </c>
      <c r="F1761">
        <f t="shared" si="24"/>
        <v>1950</v>
      </c>
      <c r="G1761">
        <v>2500</v>
      </c>
      <c r="H1761">
        <v>2950</v>
      </c>
    </row>
    <row r="1762" spans="1:8" x14ac:dyDescent="0.25">
      <c r="A1762" s="10">
        <v>2345</v>
      </c>
      <c r="B1762" s="1" t="s">
        <v>2479</v>
      </c>
      <c r="C1762" s="2" t="s">
        <v>2474</v>
      </c>
      <c r="D1762" s="1" t="s">
        <v>2484</v>
      </c>
      <c r="E1762">
        <v>2266</v>
      </c>
      <c r="F1762">
        <f t="shared" si="24"/>
        <v>2306</v>
      </c>
      <c r="G1762">
        <v>2950</v>
      </c>
      <c r="H1762">
        <v>3500</v>
      </c>
    </row>
    <row r="1763" spans="1:8" x14ac:dyDescent="0.25">
      <c r="A1763" s="10">
        <v>2346</v>
      </c>
      <c r="B1763" s="1" t="s">
        <v>2479</v>
      </c>
      <c r="C1763" s="2" t="s">
        <v>2475</v>
      </c>
      <c r="D1763" s="1" t="s">
        <v>2484</v>
      </c>
      <c r="E1763">
        <v>3140</v>
      </c>
      <c r="F1763">
        <f t="shared" si="24"/>
        <v>3180</v>
      </c>
      <c r="G1763">
        <v>3950</v>
      </c>
      <c r="H1763">
        <v>4850</v>
      </c>
    </row>
    <row r="1764" spans="1:8" x14ac:dyDescent="0.25">
      <c r="A1764" s="10">
        <v>2347</v>
      </c>
      <c r="B1764" s="1" t="s">
        <v>2479</v>
      </c>
      <c r="C1764" s="2" t="s">
        <v>2476</v>
      </c>
      <c r="D1764" s="1" t="s">
        <v>2484</v>
      </c>
      <c r="E1764">
        <v>5082</v>
      </c>
      <c r="F1764">
        <f t="shared" si="24"/>
        <v>5122</v>
      </c>
      <c r="G1764">
        <v>6500</v>
      </c>
      <c r="H1764">
        <v>7850</v>
      </c>
    </row>
    <row r="1765" spans="1:8" x14ac:dyDescent="0.25">
      <c r="C1765" s="2"/>
    </row>
    <row r="1766" spans="1:8" x14ac:dyDescent="0.25">
      <c r="A1766" s="10">
        <v>2348</v>
      </c>
      <c r="B1766" s="1" t="s">
        <v>2479</v>
      </c>
      <c r="C1766" s="2" t="s">
        <v>2485</v>
      </c>
      <c r="D1766" s="1" t="s">
        <v>2487</v>
      </c>
      <c r="E1766">
        <v>1646</v>
      </c>
      <c r="F1766">
        <v>1800</v>
      </c>
      <c r="G1766">
        <v>2100</v>
      </c>
      <c r="H1766">
        <v>2460</v>
      </c>
    </row>
    <row r="1767" spans="1:8" x14ac:dyDescent="0.25">
      <c r="A1767" s="10">
        <v>2349</v>
      </c>
      <c r="B1767" s="1" t="s">
        <v>2479</v>
      </c>
      <c r="C1767" s="2" t="s">
        <v>2486</v>
      </c>
      <c r="D1767" s="1" t="s">
        <v>2487</v>
      </c>
      <c r="E1767">
        <v>2849</v>
      </c>
      <c r="F1767">
        <v>3100</v>
      </c>
      <c r="G1767">
        <v>3450</v>
      </c>
      <c r="H1767">
        <v>4070</v>
      </c>
    </row>
    <row r="1768" spans="1:8" x14ac:dyDescent="0.25">
      <c r="A1768" s="10">
        <v>2350</v>
      </c>
      <c r="B1768" s="1" t="s">
        <v>2479</v>
      </c>
      <c r="C1768" s="2" t="s">
        <v>2488</v>
      </c>
      <c r="D1768" s="1" t="s">
        <v>2487</v>
      </c>
      <c r="E1768">
        <v>1250</v>
      </c>
      <c r="F1768">
        <v>1600</v>
      </c>
      <c r="G1768">
        <v>1750</v>
      </c>
      <c r="H1768">
        <v>1975</v>
      </c>
    </row>
    <row r="1770" spans="1:8" x14ac:dyDescent="0.25">
      <c r="A1770" s="10">
        <v>2351</v>
      </c>
      <c r="B1770" s="1" t="s">
        <v>2497</v>
      </c>
      <c r="C1770" s="2" t="s">
        <v>2489</v>
      </c>
      <c r="D1770" s="1" t="s">
        <v>2498</v>
      </c>
      <c r="E1770">
        <v>400</v>
      </c>
      <c r="F1770">
        <v>450</v>
      </c>
      <c r="G1770">
        <v>500</v>
      </c>
      <c r="H1770">
        <v>625</v>
      </c>
    </row>
    <row r="1771" spans="1:8" x14ac:dyDescent="0.25">
      <c r="A1771" s="10">
        <v>2352</v>
      </c>
      <c r="B1771" s="1" t="s">
        <v>2497</v>
      </c>
      <c r="C1771" s="2" t="s">
        <v>2490</v>
      </c>
      <c r="D1771" s="1" t="s">
        <v>2498</v>
      </c>
      <c r="E1771">
        <v>400</v>
      </c>
      <c r="F1771">
        <v>450</v>
      </c>
      <c r="G1771">
        <v>500</v>
      </c>
      <c r="H1771">
        <v>625</v>
      </c>
    </row>
    <row r="1772" spans="1:8" x14ac:dyDescent="0.25">
      <c r="A1772" s="10">
        <v>2353</v>
      </c>
      <c r="B1772" s="1" t="s">
        <v>2497</v>
      </c>
      <c r="C1772" s="2" t="s">
        <v>2491</v>
      </c>
      <c r="D1772" s="1" t="s">
        <v>2498</v>
      </c>
      <c r="E1772">
        <v>400</v>
      </c>
      <c r="F1772">
        <v>450</v>
      </c>
      <c r="G1772">
        <v>500</v>
      </c>
      <c r="H1772">
        <v>625</v>
      </c>
    </row>
    <row r="1773" spans="1:8" x14ac:dyDescent="0.25">
      <c r="A1773" s="10">
        <v>2354</v>
      </c>
      <c r="B1773" s="1" t="s">
        <v>2497</v>
      </c>
      <c r="C1773" s="2" t="s">
        <v>2492</v>
      </c>
      <c r="D1773" s="1" t="s">
        <v>2498</v>
      </c>
      <c r="E1773">
        <v>400</v>
      </c>
      <c r="F1773">
        <v>450</v>
      </c>
      <c r="G1773">
        <v>500</v>
      </c>
      <c r="H1773">
        <v>625</v>
      </c>
    </row>
    <row r="1774" spans="1:8" x14ac:dyDescent="0.25">
      <c r="A1774" s="10">
        <v>2355</v>
      </c>
      <c r="B1774" s="1" t="s">
        <v>2497</v>
      </c>
      <c r="C1774" s="2" t="s">
        <v>2493</v>
      </c>
      <c r="D1774" s="1" t="s">
        <v>2498</v>
      </c>
      <c r="E1774">
        <v>400</v>
      </c>
      <c r="F1774">
        <v>450</v>
      </c>
      <c r="G1774">
        <v>500</v>
      </c>
      <c r="H1774">
        <v>625</v>
      </c>
    </row>
    <row r="1775" spans="1:8" s="7" customFormat="1" x14ac:dyDescent="0.25">
      <c r="A1775" s="12">
        <v>2356</v>
      </c>
      <c r="B1775" s="7" t="s">
        <v>2497</v>
      </c>
      <c r="C1775" s="7" t="s">
        <v>2494</v>
      </c>
      <c r="D1775" s="7" t="s">
        <v>86</v>
      </c>
      <c r="E1775" s="7">
        <v>691</v>
      </c>
      <c r="F1775" s="7">
        <v>750</v>
      </c>
      <c r="G1775" s="7">
        <v>800</v>
      </c>
      <c r="H1775" s="7">
        <v>1070</v>
      </c>
    </row>
    <row r="1776" spans="1:8" x14ac:dyDescent="0.25">
      <c r="A1776" s="10">
        <v>2357</v>
      </c>
      <c r="B1776" s="1" t="s">
        <v>123</v>
      </c>
      <c r="C1776" s="2" t="s">
        <v>2495</v>
      </c>
      <c r="D1776" s="1" t="s">
        <v>2498</v>
      </c>
      <c r="E1776">
        <v>3444</v>
      </c>
      <c r="F1776">
        <v>3500</v>
      </c>
      <c r="G1776">
        <v>3800</v>
      </c>
      <c r="H1776">
        <v>4975</v>
      </c>
    </row>
    <row r="1777" spans="1:8" x14ac:dyDescent="0.25">
      <c r="A1777" s="10">
        <v>2358</v>
      </c>
      <c r="B1777" s="1" t="s">
        <v>2497</v>
      </c>
      <c r="C1777" s="2" t="s">
        <v>2496</v>
      </c>
      <c r="D1777" s="1" t="s">
        <v>2498</v>
      </c>
      <c r="E1777">
        <v>987</v>
      </c>
      <c r="F1777">
        <v>1000</v>
      </c>
      <c r="G1777">
        <v>1200</v>
      </c>
      <c r="H1777">
        <v>1425</v>
      </c>
    </row>
    <row r="1779" spans="1:8" x14ac:dyDescent="0.25">
      <c r="A1779" s="10">
        <v>2359</v>
      </c>
      <c r="B1779" t="s">
        <v>4302</v>
      </c>
      <c r="C1779" s="2" t="s">
        <v>410</v>
      </c>
      <c r="D1779" s="1" t="s">
        <v>2094</v>
      </c>
      <c r="E1779">
        <v>39</v>
      </c>
      <c r="F1779">
        <v>40</v>
      </c>
      <c r="G1779">
        <v>50</v>
      </c>
      <c r="H1779">
        <v>55</v>
      </c>
    </row>
    <row r="1780" spans="1:8" x14ac:dyDescent="0.25">
      <c r="A1780" s="10">
        <v>2360</v>
      </c>
      <c r="B1780" t="s">
        <v>4303</v>
      </c>
      <c r="C1780" s="2" t="s">
        <v>411</v>
      </c>
      <c r="D1780" s="1" t="s">
        <v>2094</v>
      </c>
      <c r="E1780">
        <v>58.5</v>
      </c>
      <c r="F1780">
        <v>50</v>
      </c>
      <c r="G1780">
        <v>80</v>
      </c>
      <c r="H1780">
        <v>85</v>
      </c>
    </row>
    <row r="1781" spans="1:8" x14ac:dyDescent="0.25">
      <c r="A1781" s="10">
        <v>2361</v>
      </c>
      <c r="B1781" t="s">
        <v>4304</v>
      </c>
      <c r="C1781" s="2" t="s">
        <v>412</v>
      </c>
      <c r="D1781" s="1" t="s">
        <v>2094</v>
      </c>
      <c r="E1781">
        <v>80</v>
      </c>
      <c r="F1781">
        <v>90</v>
      </c>
      <c r="G1781">
        <v>100</v>
      </c>
      <c r="H1781">
        <v>120</v>
      </c>
    </row>
    <row r="1782" spans="1:8" x14ac:dyDescent="0.25">
      <c r="A1782" s="10">
        <v>2362</v>
      </c>
      <c r="B1782" t="s">
        <v>4305</v>
      </c>
      <c r="C1782" s="2" t="s">
        <v>413</v>
      </c>
      <c r="D1782" s="1" t="s">
        <v>2094</v>
      </c>
      <c r="E1782">
        <v>123.75</v>
      </c>
      <c r="F1782">
        <v>140</v>
      </c>
      <c r="G1782">
        <v>160</v>
      </c>
      <c r="H1782">
        <v>165</v>
      </c>
    </row>
    <row r="1783" spans="1:8" x14ac:dyDescent="0.25">
      <c r="A1783" s="10">
        <v>2363</v>
      </c>
      <c r="B1783" t="s">
        <v>4306</v>
      </c>
      <c r="C1783" s="2" t="s">
        <v>414</v>
      </c>
      <c r="D1783" s="1" t="s">
        <v>2094</v>
      </c>
      <c r="E1783">
        <v>183.75</v>
      </c>
      <c r="F1783">
        <v>220</v>
      </c>
      <c r="G1783">
        <v>260</v>
      </c>
      <c r="H1783">
        <v>270</v>
      </c>
    </row>
    <row r="1784" spans="1:8" x14ac:dyDescent="0.25">
      <c r="A1784" s="10">
        <v>2364</v>
      </c>
      <c r="B1784" t="s">
        <v>4307</v>
      </c>
      <c r="C1784" s="2" t="s">
        <v>415</v>
      </c>
      <c r="D1784" s="1" t="s">
        <v>2094</v>
      </c>
      <c r="E1784">
        <v>266.25</v>
      </c>
      <c r="F1784">
        <v>280</v>
      </c>
      <c r="G1784">
        <v>330</v>
      </c>
      <c r="H1784">
        <v>345</v>
      </c>
    </row>
    <row r="1785" spans="1:8" x14ac:dyDescent="0.25">
      <c r="A1785" s="10">
        <v>2365</v>
      </c>
      <c r="B1785" t="s">
        <v>4308</v>
      </c>
      <c r="C1785" s="2" t="s">
        <v>416</v>
      </c>
      <c r="D1785" s="1" t="s">
        <v>2094</v>
      </c>
      <c r="E1785">
        <v>363.75</v>
      </c>
      <c r="F1785">
        <v>400</v>
      </c>
      <c r="G1785">
        <v>480</v>
      </c>
    </row>
    <row r="1786" spans="1:8" x14ac:dyDescent="0.25">
      <c r="A1786" s="10">
        <v>2366</v>
      </c>
      <c r="B1786" t="s">
        <v>4309</v>
      </c>
      <c r="C1786" s="2" t="s">
        <v>417</v>
      </c>
      <c r="D1786" s="1" t="s">
        <v>2094</v>
      </c>
      <c r="E1786">
        <v>742.5</v>
      </c>
      <c r="G1786" t="s">
        <v>528</v>
      </c>
    </row>
    <row r="1787" spans="1:8" x14ac:dyDescent="0.25">
      <c r="A1787" s="10">
        <v>2367</v>
      </c>
      <c r="B1787" t="s">
        <v>4310</v>
      </c>
      <c r="C1787" s="2" t="s">
        <v>418</v>
      </c>
      <c r="D1787" s="1" t="s">
        <v>2094</v>
      </c>
      <c r="E1787">
        <v>1005</v>
      </c>
      <c r="F1787">
        <v>1200</v>
      </c>
      <c r="G1787">
        <v>1340</v>
      </c>
      <c r="H1787">
        <v>1360</v>
      </c>
    </row>
    <row r="1788" spans="1:8" x14ac:dyDescent="0.25">
      <c r="A1788" s="10">
        <v>2368</v>
      </c>
      <c r="B1788" t="s">
        <v>4311</v>
      </c>
      <c r="C1788" s="2" t="s">
        <v>419</v>
      </c>
      <c r="D1788" s="1" t="s">
        <v>2094</v>
      </c>
      <c r="E1788">
        <v>50.25</v>
      </c>
      <c r="F1788">
        <v>55</v>
      </c>
      <c r="G1788">
        <v>60</v>
      </c>
      <c r="H1788">
        <v>65</v>
      </c>
    </row>
    <row r="1789" spans="1:8" x14ac:dyDescent="0.25">
      <c r="A1789" s="10">
        <v>2369</v>
      </c>
      <c r="B1789" t="s">
        <v>4312</v>
      </c>
      <c r="C1789" s="2" t="s">
        <v>420</v>
      </c>
      <c r="D1789" s="1" t="s">
        <v>2094</v>
      </c>
      <c r="E1789">
        <v>67.5</v>
      </c>
      <c r="F1789">
        <v>75</v>
      </c>
      <c r="G1789">
        <v>90</v>
      </c>
      <c r="H1789">
        <v>95</v>
      </c>
    </row>
    <row r="1790" spans="1:8" x14ac:dyDescent="0.25">
      <c r="A1790" s="10">
        <v>2370</v>
      </c>
      <c r="B1790" t="s">
        <v>4313</v>
      </c>
      <c r="C1790" s="2" t="s">
        <v>421</v>
      </c>
      <c r="D1790" s="1" t="s">
        <v>2094</v>
      </c>
      <c r="E1790">
        <v>93.75</v>
      </c>
      <c r="F1790">
        <v>110</v>
      </c>
      <c r="G1790">
        <v>125</v>
      </c>
      <c r="H1790">
        <v>135</v>
      </c>
    </row>
    <row r="1791" spans="1:8" x14ac:dyDescent="0.25">
      <c r="A1791" s="10">
        <v>2371</v>
      </c>
      <c r="B1791" t="s">
        <v>4314</v>
      </c>
      <c r="C1791" s="2" t="s">
        <v>422</v>
      </c>
      <c r="D1791" s="1" t="s">
        <v>2094</v>
      </c>
      <c r="E1791">
        <v>153.75</v>
      </c>
      <c r="F1791">
        <v>170</v>
      </c>
      <c r="G1791">
        <v>195</v>
      </c>
      <c r="H1791">
        <v>210</v>
      </c>
    </row>
    <row r="1792" spans="1:8" x14ac:dyDescent="0.25">
      <c r="A1792" s="10">
        <v>2372</v>
      </c>
      <c r="B1792" t="s">
        <v>4315</v>
      </c>
      <c r="C1792" s="2" t="s">
        <v>423</v>
      </c>
      <c r="D1792" s="1" t="s">
        <v>2094</v>
      </c>
      <c r="E1792">
        <v>198.75</v>
      </c>
      <c r="F1792">
        <v>230</v>
      </c>
      <c r="G1792">
        <v>265</v>
      </c>
      <c r="H1792">
        <v>275</v>
      </c>
    </row>
    <row r="1793" spans="1:8" x14ac:dyDescent="0.25">
      <c r="A1793" s="10">
        <v>2373</v>
      </c>
      <c r="B1793" t="s">
        <v>4316</v>
      </c>
      <c r="C1793" s="2" t="s">
        <v>424</v>
      </c>
      <c r="D1793" s="1" t="s">
        <v>2094</v>
      </c>
      <c r="E1793">
        <v>273.75</v>
      </c>
      <c r="F1793">
        <v>300</v>
      </c>
      <c r="G1793">
        <v>350</v>
      </c>
      <c r="H1793">
        <v>375</v>
      </c>
    </row>
    <row r="1794" spans="1:8" x14ac:dyDescent="0.25">
      <c r="A1794" s="10">
        <v>2374</v>
      </c>
      <c r="B1794" t="s">
        <v>4317</v>
      </c>
      <c r="C1794" s="2" t="s">
        <v>425</v>
      </c>
      <c r="D1794" s="1" t="s">
        <v>2094</v>
      </c>
      <c r="E1794">
        <v>468.75</v>
      </c>
      <c r="F1794">
        <v>530</v>
      </c>
      <c r="G1794">
        <v>620</v>
      </c>
      <c r="H1794">
        <v>635</v>
      </c>
    </row>
    <row r="1795" spans="1:8" x14ac:dyDescent="0.25">
      <c r="A1795" s="10">
        <v>2375</v>
      </c>
      <c r="B1795" t="s">
        <v>4318</v>
      </c>
      <c r="C1795" s="2" t="s">
        <v>426</v>
      </c>
      <c r="D1795" s="1" t="s">
        <v>2094</v>
      </c>
      <c r="E1795">
        <v>873.75</v>
      </c>
      <c r="F1795">
        <v>950</v>
      </c>
      <c r="G1795">
        <v>1160</v>
      </c>
      <c r="H1795">
        <v>1175</v>
      </c>
    </row>
    <row r="1796" spans="1:8" x14ac:dyDescent="0.25">
      <c r="A1796" s="10">
        <v>2376</v>
      </c>
      <c r="B1796" t="s">
        <v>4319</v>
      </c>
      <c r="C1796" s="2" t="s">
        <v>427</v>
      </c>
      <c r="D1796" s="1" t="s">
        <v>2094</v>
      </c>
      <c r="E1796">
        <v>1398.75</v>
      </c>
      <c r="F1796">
        <v>1500</v>
      </c>
      <c r="G1796">
        <v>1860</v>
      </c>
      <c r="H1796">
        <v>1895</v>
      </c>
    </row>
    <row r="1797" spans="1:8" x14ac:dyDescent="0.25">
      <c r="A1797" s="10">
        <v>2377</v>
      </c>
      <c r="B1797" t="s">
        <v>4320</v>
      </c>
      <c r="C1797" s="2" t="s">
        <v>428</v>
      </c>
      <c r="D1797" s="1" t="s">
        <v>2094</v>
      </c>
      <c r="E1797">
        <v>42.75</v>
      </c>
      <c r="F1797">
        <v>48</v>
      </c>
      <c r="G1797">
        <v>60</v>
      </c>
      <c r="H1797">
        <v>65</v>
      </c>
    </row>
    <row r="1798" spans="1:8" x14ac:dyDescent="0.25">
      <c r="A1798" s="10">
        <v>2378</v>
      </c>
      <c r="B1798" t="s">
        <v>4321</v>
      </c>
      <c r="C1798" s="2" t="s">
        <v>429</v>
      </c>
      <c r="D1798" s="1" t="s">
        <v>2094</v>
      </c>
      <c r="E1798">
        <v>75</v>
      </c>
      <c r="F1798">
        <v>80</v>
      </c>
      <c r="G1798">
        <v>100</v>
      </c>
      <c r="H1798">
        <v>115</v>
      </c>
    </row>
    <row r="1799" spans="1:8" x14ac:dyDescent="0.25">
      <c r="A1799" s="10">
        <v>2379</v>
      </c>
      <c r="B1799" t="s">
        <v>4322</v>
      </c>
      <c r="C1799" s="2" t="s">
        <v>430</v>
      </c>
      <c r="D1799" s="1" t="s">
        <v>2094</v>
      </c>
      <c r="E1799">
        <v>90</v>
      </c>
      <c r="F1799">
        <v>100</v>
      </c>
      <c r="G1799">
        <v>120</v>
      </c>
      <c r="H1799">
        <v>125</v>
      </c>
    </row>
    <row r="1800" spans="1:8" x14ac:dyDescent="0.25">
      <c r="A1800" s="10">
        <v>2380</v>
      </c>
      <c r="B1800" t="s">
        <v>4323</v>
      </c>
      <c r="C1800" s="2" t="s">
        <v>431</v>
      </c>
      <c r="D1800" s="1" t="s">
        <v>2094</v>
      </c>
      <c r="E1800">
        <v>150</v>
      </c>
      <c r="F1800">
        <v>160</v>
      </c>
      <c r="G1800">
        <v>190</v>
      </c>
      <c r="H1800">
        <v>205</v>
      </c>
    </row>
    <row r="1801" spans="1:8" x14ac:dyDescent="0.25">
      <c r="A1801" s="10">
        <v>2381</v>
      </c>
      <c r="B1801" t="s">
        <v>4324</v>
      </c>
      <c r="C1801" s="2" t="s">
        <v>432</v>
      </c>
      <c r="D1801" s="1" t="s">
        <v>2094</v>
      </c>
      <c r="E1801">
        <v>213.75</v>
      </c>
      <c r="F1801">
        <v>240</v>
      </c>
      <c r="G1801">
        <v>280</v>
      </c>
      <c r="H1801">
        <v>295</v>
      </c>
    </row>
    <row r="1802" spans="1:8" x14ac:dyDescent="0.25">
      <c r="A1802" s="10">
        <v>2382</v>
      </c>
      <c r="B1802" t="s">
        <v>4325</v>
      </c>
      <c r="C1802" s="2" t="s">
        <v>433</v>
      </c>
      <c r="D1802" s="1" t="s">
        <v>2094</v>
      </c>
      <c r="E1802">
        <v>285</v>
      </c>
      <c r="F1802">
        <v>320</v>
      </c>
      <c r="G1802">
        <v>380</v>
      </c>
      <c r="H1802">
        <v>395</v>
      </c>
    </row>
    <row r="1803" spans="1:8" x14ac:dyDescent="0.25">
      <c r="A1803" s="10">
        <v>2383</v>
      </c>
      <c r="B1803" t="s">
        <v>4326</v>
      </c>
      <c r="C1803" s="2" t="s">
        <v>434</v>
      </c>
      <c r="D1803" s="1" t="s">
        <v>2094</v>
      </c>
      <c r="E1803">
        <v>558.75</v>
      </c>
      <c r="F1803">
        <v>680</v>
      </c>
      <c r="G1803">
        <v>740</v>
      </c>
      <c r="H1803">
        <v>765</v>
      </c>
    </row>
    <row r="1804" spans="1:8" x14ac:dyDescent="0.25">
      <c r="A1804" s="10">
        <v>2384</v>
      </c>
      <c r="B1804" t="s">
        <v>4327</v>
      </c>
      <c r="C1804" s="2" t="s">
        <v>435</v>
      </c>
      <c r="D1804" s="1" t="s">
        <v>2094</v>
      </c>
      <c r="E1804">
        <v>881.25</v>
      </c>
      <c r="F1804">
        <v>950</v>
      </c>
      <c r="G1804">
        <v>1170</v>
      </c>
      <c r="H1804">
        <v>1185</v>
      </c>
    </row>
    <row r="1805" spans="1:8" x14ac:dyDescent="0.25">
      <c r="A1805" s="10">
        <v>2385</v>
      </c>
      <c r="B1805" t="s">
        <v>4328</v>
      </c>
      <c r="C1805" s="2" t="s">
        <v>436</v>
      </c>
      <c r="D1805" s="1" t="s">
        <v>2094</v>
      </c>
      <c r="E1805">
        <v>1428.75</v>
      </c>
      <c r="F1805">
        <v>1600</v>
      </c>
      <c r="G1805">
        <v>1900</v>
      </c>
      <c r="H1805">
        <v>1935</v>
      </c>
    </row>
    <row r="1806" spans="1:8" x14ac:dyDescent="0.25">
      <c r="A1806" s="10">
        <v>2386</v>
      </c>
      <c r="B1806" t="s">
        <v>2151</v>
      </c>
      <c r="C1806" s="2" t="s">
        <v>437</v>
      </c>
      <c r="D1806" s="1" t="s">
        <v>2094</v>
      </c>
      <c r="E1806">
        <v>39</v>
      </c>
      <c r="F1806">
        <v>45</v>
      </c>
      <c r="G1806">
        <v>50</v>
      </c>
      <c r="H1806">
        <v>55</v>
      </c>
    </row>
    <row r="1807" spans="1:8" x14ac:dyDescent="0.25">
      <c r="A1807" s="10">
        <v>2387</v>
      </c>
      <c r="B1807" t="s">
        <v>2151</v>
      </c>
      <c r="C1807" s="2" t="s">
        <v>438</v>
      </c>
      <c r="D1807" s="1" t="s">
        <v>2094</v>
      </c>
      <c r="E1807">
        <v>78.75</v>
      </c>
      <c r="F1807">
        <v>85</v>
      </c>
      <c r="G1807">
        <v>100</v>
      </c>
      <c r="H1807">
        <v>120</v>
      </c>
    </row>
    <row r="1808" spans="1:8" x14ac:dyDescent="0.25">
      <c r="A1808" s="10">
        <v>2388</v>
      </c>
      <c r="B1808" t="s">
        <v>2151</v>
      </c>
      <c r="C1808" s="2" t="s">
        <v>439</v>
      </c>
      <c r="D1808" s="1" t="s">
        <v>2094</v>
      </c>
      <c r="E1808">
        <v>93.75</v>
      </c>
      <c r="F1808">
        <v>100</v>
      </c>
      <c r="G1808">
        <v>120</v>
      </c>
      <c r="H1808">
        <v>135</v>
      </c>
    </row>
    <row r="1809" spans="1:8" x14ac:dyDescent="0.25">
      <c r="A1809" s="10">
        <v>2389</v>
      </c>
      <c r="B1809" t="s">
        <v>2151</v>
      </c>
      <c r="C1809" s="2" t="s">
        <v>440</v>
      </c>
      <c r="D1809" s="1" t="s">
        <v>2094</v>
      </c>
      <c r="E1809">
        <v>172.5</v>
      </c>
      <c r="F1809">
        <v>200</v>
      </c>
      <c r="G1809">
        <v>230</v>
      </c>
      <c r="H1809">
        <v>235</v>
      </c>
    </row>
    <row r="1810" spans="1:8" x14ac:dyDescent="0.25">
      <c r="A1810" s="10">
        <v>2390</v>
      </c>
      <c r="B1810" t="s">
        <v>2151</v>
      </c>
      <c r="C1810" s="2" t="s">
        <v>441</v>
      </c>
      <c r="D1810" s="1" t="s">
        <v>2094</v>
      </c>
      <c r="E1810">
        <v>273.75</v>
      </c>
      <c r="F1810">
        <v>300</v>
      </c>
      <c r="G1810">
        <v>360</v>
      </c>
      <c r="H1810">
        <v>365</v>
      </c>
    </row>
    <row r="1811" spans="1:8" x14ac:dyDescent="0.25">
      <c r="A1811" s="10">
        <v>2391</v>
      </c>
      <c r="B1811" t="s">
        <v>2151</v>
      </c>
      <c r="C1811" s="2" t="s">
        <v>442</v>
      </c>
      <c r="D1811" s="1" t="s">
        <v>2094</v>
      </c>
      <c r="E1811">
        <v>412.5</v>
      </c>
      <c r="F1811">
        <v>480</v>
      </c>
      <c r="G1811">
        <v>550</v>
      </c>
      <c r="H1811">
        <v>565</v>
      </c>
    </row>
    <row r="1812" spans="1:8" x14ac:dyDescent="0.25">
      <c r="A1812" s="10">
        <v>2392</v>
      </c>
      <c r="B1812" t="s">
        <v>2151</v>
      </c>
      <c r="C1812" s="2" t="s">
        <v>443</v>
      </c>
      <c r="D1812" s="1" t="s">
        <v>2094</v>
      </c>
      <c r="E1812">
        <v>727.5</v>
      </c>
      <c r="F1812">
        <v>850</v>
      </c>
      <c r="G1812">
        <v>970</v>
      </c>
      <c r="H1812">
        <v>985</v>
      </c>
    </row>
    <row r="1813" spans="1:8" x14ac:dyDescent="0.25">
      <c r="A1813" s="10">
        <v>2393</v>
      </c>
      <c r="B1813" t="s">
        <v>2151</v>
      </c>
      <c r="C1813" s="2" t="s">
        <v>444</v>
      </c>
      <c r="D1813" s="1" t="s">
        <v>2094</v>
      </c>
      <c r="E1813">
        <v>1170</v>
      </c>
      <c r="F1813">
        <v>1350</v>
      </c>
      <c r="G1813">
        <v>1560</v>
      </c>
      <c r="H1813">
        <v>1575</v>
      </c>
    </row>
    <row r="1814" spans="1:8" x14ac:dyDescent="0.25">
      <c r="A1814" s="10">
        <v>2394</v>
      </c>
      <c r="B1814" t="s">
        <v>2151</v>
      </c>
      <c r="C1814" s="2" t="s">
        <v>445</v>
      </c>
      <c r="D1814" s="1" t="s">
        <v>2094</v>
      </c>
      <c r="E1814">
        <v>750</v>
      </c>
      <c r="F1814">
        <v>800</v>
      </c>
      <c r="G1814">
        <v>980</v>
      </c>
      <c r="H1814">
        <v>1150</v>
      </c>
    </row>
    <row r="1815" spans="1:8" x14ac:dyDescent="0.25">
      <c r="A1815" s="10">
        <v>2395</v>
      </c>
      <c r="B1815" t="s">
        <v>2152</v>
      </c>
      <c r="C1815" s="2" t="s">
        <v>446</v>
      </c>
      <c r="D1815" s="1" t="s">
        <v>2094</v>
      </c>
      <c r="E1815">
        <v>50.25</v>
      </c>
      <c r="F1815">
        <v>55</v>
      </c>
      <c r="G1815">
        <v>60</v>
      </c>
      <c r="H1815">
        <v>65</v>
      </c>
    </row>
    <row r="1816" spans="1:8" x14ac:dyDescent="0.25">
      <c r="A1816" s="10">
        <v>2396</v>
      </c>
      <c r="B1816" t="s">
        <v>2152</v>
      </c>
      <c r="C1816" s="2" t="s">
        <v>447</v>
      </c>
      <c r="D1816" s="1" t="s">
        <v>2094</v>
      </c>
      <c r="E1816">
        <v>93.75</v>
      </c>
      <c r="F1816">
        <f>SUM(E1816+10)</f>
        <v>103.75</v>
      </c>
      <c r="G1816">
        <v>130</v>
      </c>
      <c r="H1816">
        <v>145</v>
      </c>
    </row>
    <row r="1817" spans="1:8" x14ac:dyDescent="0.25">
      <c r="A1817" s="10">
        <v>2397</v>
      </c>
      <c r="B1817" t="s">
        <v>2152</v>
      </c>
      <c r="C1817" s="2" t="s">
        <v>448</v>
      </c>
      <c r="D1817" s="1" t="s">
        <v>2094</v>
      </c>
      <c r="E1817">
        <v>142.5</v>
      </c>
      <c r="F1817">
        <f t="shared" ref="F1817:F1838" si="25">SUM(E1817+10)</f>
        <v>152.5</v>
      </c>
      <c r="G1817">
        <v>180</v>
      </c>
      <c r="H1817">
        <v>195</v>
      </c>
    </row>
    <row r="1818" spans="1:8" x14ac:dyDescent="0.25">
      <c r="A1818" s="10">
        <v>2398</v>
      </c>
      <c r="B1818" t="s">
        <v>2152</v>
      </c>
      <c r="C1818" s="2" t="s">
        <v>449</v>
      </c>
      <c r="D1818" s="1" t="s">
        <v>2094</v>
      </c>
      <c r="E1818">
        <v>232.5</v>
      </c>
      <c r="F1818">
        <f t="shared" si="25"/>
        <v>242.5</v>
      </c>
      <c r="G1818">
        <v>320</v>
      </c>
      <c r="H1818">
        <v>335</v>
      </c>
    </row>
    <row r="1819" spans="1:8" x14ac:dyDescent="0.25">
      <c r="A1819" s="10">
        <v>2399</v>
      </c>
      <c r="B1819" t="s">
        <v>2152</v>
      </c>
      <c r="C1819" s="2" t="s">
        <v>450</v>
      </c>
      <c r="D1819" s="1" t="s">
        <v>2094</v>
      </c>
      <c r="E1819">
        <v>378.75</v>
      </c>
      <c r="F1819">
        <f t="shared" si="25"/>
        <v>388.75</v>
      </c>
      <c r="G1819">
        <v>490</v>
      </c>
      <c r="H1819">
        <v>505</v>
      </c>
    </row>
    <row r="1820" spans="1:8" x14ac:dyDescent="0.25">
      <c r="A1820" s="10">
        <v>2400</v>
      </c>
      <c r="B1820" t="s">
        <v>2152</v>
      </c>
      <c r="C1820" s="2" t="s">
        <v>451</v>
      </c>
      <c r="D1820" s="1" t="s">
        <v>2094</v>
      </c>
      <c r="E1820">
        <v>528.75</v>
      </c>
      <c r="F1820">
        <f t="shared" si="25"/>
        <v>538.75</v>
      </c>
      <c r="G1820">
        <v>690</v>
      </c>
      <c r="H1820">
        <v>705</v>
      </c>
    </row>
    <row r="1821" spans="1:8" x14ac:dyDescent="0.25">
      <c r="A1821" s="10">
        <v>2401</v>
      </c>
      <c r="B1821" t="s">
        <v>2152</v>
      </c>
      <c r="C1821" s="2" t="s">
        <v>452</v>
      </c>
      <c r="D1821" s="1" t="s">
        <v>2094</v>
      </c>
      <c r="E1821">
        <v>873.75</v>
      </c>
    </row>
    <row r="1822" spans="1:8" x14ac:dyDescent="0.25">
      <c r="A1822" s="10">
        <v>2402</v>
      </c>
      <c r="B1822" t="s">
        <v>2152</v>
      </c>
      <c r="C1822" s="2" t="s">
        <v>453</v>
      </c>
      <c r="D1822" s="1" t="s">
        <v>2094</v>
      </c>
      <c r="E1822">
        <v>1530</v>
      </c>
    </row>
    <row r="1823" spans="1:8" x14ac:dyDescent="0.25">
      <c r="A1823" s="10">
        <v>2403</v>
      </c>
      <c r="B1823" t="s">
        <v>2152</v>
      </c>
      <c r="C1823" s="2" t="s">
        <v>454</v>
      </c>
      <c r="D1823" s="1" t="s">
        <v>2094</v>
      </c>
      <c r="E1823">
        <v>1060</v>
      </c>
      <c r="F1823">
        <f t="shared" si="25"/>
        <v>1070</v>
      </c>
      <c r="G1823">
        <v>1380</v>
      </c>
      <c r="H1823">
        <v>1595</v>
      </c>
    </row>
    <row r="1824" spans="1:8" x14ac:dyDescent="0.25">
      <c r="A1824" s="10">
        <v>2404</v>
      </c>
      <c r="B1824" t="s">
        <v>2153</v>
      </c>
      <c r="C1824" s="2" t="s">
        <v>461</v>
      </c>
      <c r="D1824" s="1" t="s">
        <v>2094</v>
      </c>
      <c r="E1824">
        <v>42.75</v>
      </c>
      <c r="F1824">
        <f t="shared" si="25"/>
        <v>52.75</v>
      </c>
      <c r="G1824">
        <v>60</v>
      </c>
      <c r="H1824">
        <v>65</v>
      </c>
    </row>
    <row r="1825" spans="1:8" x14ac:dyDescent="0.25">
      <c r="A1825" s="10">
        <v>2405</v>
      </c>
      <c r="B1825" t="s">
        <v>2153</v>
      </c>
      <c r="C1825" s="2" t="s">
        <v>462</v>
      </c>
      <c r="D1825" s="1" t="s">
        <v>2094</v>
      </c>
      <c r="E1825">
        <v>58.5</v>
      </c>
      <c r="F1825">
        <f t="shared" si="25"/>
        <v>68.5</v>
      </c>
      <c r="G1825">
        <v>80</v>
      </c>
      <c r="H1825">
        <f>SUM(G1825+15)</f>
        <v>95</v>
      </c>
    </row>
    <row r="1826" spans="1:8" x14ac:dyDescent="0.25">
      <c r="A1826" s="10">
        <v>2406</v>
      </c>
      <c r="B1826" t="s">
        <v>2153</v>
      </c>
      <c r="C1826" s="2" t="s">
        <v>463</v>
      </c>
      <c r="D1826" s="1" t="s">
        <v>2094</v>
      </c>
      <c r="E1826">
        <v>82.5</v>
      </c>
      <c r="F1826">
        <f t="shared" si="25"/>
        <v>92.5</v>
      </c>
      <c r="G1826">
        <v>100</v>
      </c>
      <c r="H1826">
        <f t="shared" ref="H1826:H1838" si="26">SUM(G1826+15)</f>
        <v>115</v>
      </c>
    </row>
    <row r="1827" spans="1:8" x14ac:dyDescent="0.25">
      <c r="A1827" s="10">
        <v>2407</v>
      </c>
      <c r="B1827" t="s">
        <v>2153</v>
      </c>
      <c r="C1827" s="2" t="s">
        <v>464</v>
      </c>
      <c r="D1827" s="1" t="s">
        <v>2094</v>
      </c>
      <c r="E1827">
        <v>116.25</v>
      </c>
      <c r="F1827">
        <f t="shared" si="25"/>
        <v>126.25</v>
      </c>
      <c r="G1827">
        <v>140</v>
      </c>
      <c r="H1827">
        <f t="shared" si="26"/>
        <v>155</v>
      </c>
    </row>
    <row r="1828" spans="1:8" x14ac:dyDescent="0.25">
      <c r="A1828" s="10">
        <v>2408</v>
      </c>
      <c r="B1828" t="s">
        <v>2153</v>
      </c>
      <c r="C1828" s="2" t="s">
        <v>465</v>
      </c>
      <c r="D1828" s="1" t="s">
        <v>2094</v>
      </c>
      <c r="E1828">
        <v>168.75</v>
      </c>
      <c r="F1828">
        <f t="shared" si="25"/>
        <v>178.75</v>
      </c>
      <c r="G1828">
        <v>220</v>
      </c>
      <c r="H1828">
        <f t="shared" si="26"/>
        <v>235</v>
      </c>
    </row>
    <row r="1829" spans="1:8" x14ac:dyDescent="0.25">
      <c r="A1829" s="10">
        <v>2409</v>
      </c>
      <c r="B1829" t="s">
        <v>2153</v>
      </c>
      <c r="C1829" s="2" t="s">
        <v>466</v>
      </c>
      <c r="D1829" s="1" t="s">
        <v>2094</v>
      </c>
      <c r="E1829">
        <v>232.5</v>
      </c>
      <c r="F1829">
        <f t="shared" si="25"/>
        <v>242.5</v>
      </c>
      <c r="G1829">
        <v>290</v>
      </c>
      <c r="H1829">
        <f t="shared" si="26"/>
        <v>305</v>
      </c>
    </row>
    <row r="1830" spans="1:8" x14ac:dyDescent="0.25">
      <c r="A1830" s="10">
        <v>2410</v>
      </c>
      <c r="B1830" t="s">
        <v>2153</v>
      </c>
      <c r="C1830" s="2" t="s">
        <v>467</v>
      </c>
      <c r="D1830" s="1" t="s">
        <v>2094</v>
      </c>
      <c r="E1830">
        <v>468.75</v>
      </c>
      <c r="F1830">
        <f t="shared" si="25"/>
        <v>478.75</v>
      </c>
      <c r="G1830">
        <v>590</v>
      </c>
      <c r="H1830">
        <f t="shared" si="26"/>
        <v>605</v>
      </c>
    </row>
    <row r="1831" spans="1:8" x14ac:dyDescent="0.25">
      <c r="A1831" s="10">
        <v>2411</v>
      </c>
      <c r="B1831" t="s">
        <v>2153</v>
      </c>
      <c r="C1831" s="2" t="s">
        <v>468</v>
      </c>
      <c r="D1831" s="1" t="s">
        <v>2094</v>
      </c>
      <c r="E1831">
        <v>821.25</v>
      </c>
      <c r="F1831">
        <f t="shared" si="25"/>
        <v>831.25</v>
      </c>
      <c r="G1831">
        <v>990</v>
      </c>
      <c r="H1831">
        <f t="shared" si="26"/>
        <v>1005</v>
      </c>
    </row>
    <row r="1832" spans="1:8" x14ac:dyDescent="0.25">
      <c r="A1832" s="10">
        <v>2412</v>
      </c>
      <c r="B1832" t="s">
        <v>2153</v>
      </c>
      <c r="C1832" s="2" t="s">
        <v>469</v>
      </c>
      <c r="D1832" s="1" t="s">
        <v>2094</v>
      </c>
      <c r="E1832">
        <v>990</v>
      </c>
      <c r="F1832">
        <f t="shared" si="25"/>
        <v>1000</v>
      </c>
      <c r="G1832">
        <v>1100</v>
      </c>
      <c r="H1832">
        <f t="shared" si="26"/>
        <v>1115</v>
      </c>
    </row>
    <row r="1833" spans="1:8" x14ac:dyDescent="0.25">
      <c r="A1833" s="10">
        <v>2413</v>
      </c>
      <c r="B1833" t="s">
        <v>2151</v>
      </c>
      <c r="C1833" s="2" t="s">
        <v>455</v>
      </c>
      <c r="D1833" s="1" t="s">
        <v>2094</v>
      </c>
      <c r="E1833">
        <v>46.5</v>
      </c>
      <c r="F1833">
        <f t="shared" si="25"/>
        <v>56.5</v>
      </c>
      <c r="G1833">
        <v>65</v>
      </c>
      <c r="H1833">
        <f t="shared" si="26"/>
        <v>80</v>
      </c>
    </row>
    <row r="1834" spans="1:8" x14ac:dyDescent="0.25">
      <c r="A1834" s="10">
        <v>2414</v>
      </c>
      <c r="B1834" t="s">
        <v>2151</v>
      </c>
      <c r="C1834" s="2" t="s">
        <v>456</v>
      </c>
      <c r="D1834" s="1" t="s">
        <v>2094</v>
      </c>
      <c r="E1834">
        <v>75</v>
      </c>
      <c r="F1834">
        <f t="shared" si="25"/>
        <v>85</v>
      </c>
      <c r="G1834">
        <v>100</v>
      </c>
      <c r="H1834">
        <f t="shared" si="26"/>
        <v>115</v>
      </c>
    </row>
    <row r="1835" spans="1:8" x14ac:dyDescent="0.25">
      <c r="A1835" s="10">
        <v>2415</v>
      </c>
      <c r="B1835" t="s">
        <v>2151</v>
      </c>
      <c r="C1835" s="2" t="s">
        <v>457</v>
      </c>
      <c r="D1835" s="1" t="s">
        <v>2094</v>
      </c>
      <c r="E1835">
        <v>101.25</v>
      </c>
      <c r="F1835">
        <f t="shared" si="25"/>
        <v>111.25</v>
      </c>
      <c r="G1835">
        <v>140</v>
      </c>
      <c r="H1835">
        <f t="shared" si="26"/>
        <v>155</v>
      </c>
    </row>
    <row r="1836" spans="1:8" x14ac:dyDescent="0.25">
      <c r="A1836" s="10">
        <v>2416</v>
      </c>
      <c r="B1836" t="s">
        <v>2151</v>
      </c>
      <c r="C1836" s="2" t="s">
        <v>458</v>
      </c>
      <c r="D1836" s="1" t="s">
        <v>2094</v>
      </c>
      <c r="E1836">
        <v>243.75</v>
      </c>
      <c r="F1836">
        <f t="shared" si="25"/>
        <v>253.75</v>
      </c>
      <c r="G1836">
        <v>280</v>
      </c>
      <c r="H1836">
        <f t="shared" si="26"/>
        <v>295</v>
      </c>
    </row>
    <row r="1837" spans="1:8" x14ac:dyDescent="0.25">
      <c r="A1837" s="10">
        <v>2417</v>
      </c>
      <c r="B1837" t="s">
        <v>2151</v>
      </c>
      <c r="C1837" s="2" t="s">
        <v>459</v>
      </c>
      <c r="D1837" s="1" t="s">
        <v>2094</v>
      </c>
      <c r="E1837">
        <v>347.75</v>
      </c>
      <c r="F1837">
        <f t="shared" si="25"/>
        <v>357.75</v>
      </c>
      <c r="G1837">
        <v>490</v>
      </c>
      <c r="H1837">
        <f t="shared" si="26"/>
        <v>505</v>
      </c>
    </row>
    <row r="1838" spans="1:8" x14ac:dyDescent="0.25">
      <c r="A1838" s="10">
        <v>2418</v>
      </c>
      <c r="B1838" t="s">
        <v>2151</v>
      </c>
      <c r="C1838" s="2" t="s">
        <v>460</v>
      </c>
      <c r="D1838" s="1" t="s">
        <v>2094</v>
      </c>
      <c r="E1838">
        <v>566.25</v>
      </c>
      <c r="F1838">
        <f t="shared" si="25"/>
        <v>576.25</v>
      </c>
      <c r="G1838">
        <v>680</v>
      </c>
      <c r="H1838">
        <f t="shared" si="26"/>
        <v>695</v>
      </c>
    </row>
    <row r="1840" spans="1:8" x14ac:dyDescent="0.25">
      <c r="A1840" s="10">
        <v>2419</v>
      </c>
      <c r="B1840" t="s">
        <v>2154</v>
      </c>
      <c r="C1840" s="2" t="s">
        <v>529</v>
      </c>
      <c r="D1840" s="1" t="s">
        <v>2094</v>
      </c>
      <c r="E1840">
        <v>59</v>
      </c>
      <c r="F1840">
        <v>75</v>
      </c>
      <c r="G1840">
        <v>80</v>
      </c>
      <c r="H1840">
        <v>95</v>
      </c>
    </row>
    <row r="1841" spans="1:8" x14ac:dyDescent="0.25">
      <c r="A1841" s="10">
        <v>2420</v>
      </c>
      <c r="B1841" t="s">
        <v>2154</v>
      </c>
      <c r="C1841" s="2" t="s">
        <v>530</v>
      </c>
      <c r="D1841" s="1" t="s">
        <v>2094</v>
      </c>
      <c r="E1841">
        <v>79</v>
      </c>
      <c r="F1841">
        <v>100</v>
      </c>
      <c r="G1841">
        <v>120</v>
      </c>
      <c r="H1841">
        <v>145</v>
      </c>
    </row>
    <row r="1842" spans="1:8" x14ac:dyDescent="0.25">
      <c r="A1842" s="10">
        <v>2421</v>
      </c>
      <c r="B1842" t="s">
        <v>2154</v>
      </c>
      <c r="C1842" s="2" t="s">
        <v>531</v>
      </c>
      <c r="D1842" s="1" t="s">
        <v>2094</v>
      </c>
      <c r="E1842">
        <v>90</v>
      </c>
      <c r="F1842">
        <v>120</v>
      </c>
      <c r="G1842">
        <v>140</v>
      </c>
      <c r="H1842">
        <v>1650</v>
      </c>
    </row>
    <row r="1843" spans="1:8" x14ac:dyDescent="0.25">
      <c r="A1843" s="10">
        <v>2422</v>
      </c>
      <c r="B1843" t="s">
        <v>2154</v>
      </c>
      <c r="C1843" s="2" t="s">
        <v>532</v>
      </c>
      <c r="D1843" s="1" t="s">
        <v>2094</v>
      </c>
      <c r="E1843">
        <v>115</v>
      </c>
      <c r="F1843">
        <v>140</v>
      </c>
      <c r="G1843">
        <v>170</v>
      </c>
      <c r="H1843">
        <v>195</v>
      </c>
    </row>
    <row r="1844" spans="1:8" x14ac:dyDescent="0.25">
      <c r="A1844" s="10">
        <v>2423</v>
      </c>
      <c r="B1844" t="s">
        <v>2154</v>
      </c>
      <c r="C1844" s="2" t="s">
        <v>533</v>
      </c>
      <c r="D1844" s="1" t="s">
        <v>2094</v>
      </c>
      <c r="E1844">
        <v>124</v>
      </c>
      <c r="F1844">
        <v>165</v>
      </c>
      <c r="G1844">
        <v>180</v>
      </c>
      <c r="H1844">
        <v>225</v>
      </c>
    </row>
    <row r="1845" spans="1:8" x14ac:dyDescent="0.25">
      <c r="A1845" s="10">
        <v>2424</v>
      </c>
      <c r="B1845" t="s">
        <v>2154</v>
      </c>
      <c r="C1845" s="2" t="s">
        <v>534</v>
      </c>
      <c r="D1845" s="1" t="s">
        <v>2094</v>
      </c>
      <c r="E1845">
        <v>143</v>
      </c>
      <c r="F1845">
        <v>190</v>
      </c>
      <c r="G1845">
        <v>220</v>
      </c>
      <c r="H1845">
        <v>265</v>
      </c>
    </row>
    <row r="1846" spans="1:8" x14ac:dyDescent="0.25">
      <c r="A1846" s="10">
        <v>2425</v>
      </c>
      <c r="B1846" t="s">
        <v>2154</v>
      </c>
      <c r="C1846" s="2" t="s">
        <v>535</v>
      </c>
      <c r="D1846" s="1" t="s">
        <v>2094</v>
      </c>
      <c r="E1846">
        <v>154</v>
      </c>
      <c r="F1846">
        <v>210</v>
      </c>
      <c r="G1846">
        <v>230</v>
      </c>
      <c r="H1846">
        <v>265</v>
      </c>
    </row>
    <row r="1847" spans="1:8" x14ac:dyDescent="0.25">
      <c r="A1847" s="10">
        <v>2426</v>
      </c>
      <c r="B1847" t="s">
        <v>2154</v>
      </c>
      <c r="C1847" s="2" t="s">
        <v>536</v>
      </c>
      <c r="D1847" s="1" t="s">
        <v>2094</v>
      </c>
      <c r="E1847">
        <v>173</v>
      </c>
      <c r="F1847">
        <v>230</v>
      </c>
      <c r="G1847">
        <v>250</v>
      </c>
      <c r="H1847">
        <v>295</v>
      </c>
    </row>
    <row r="1848" spans="1:8" x14ac:dyDescent="0.25">
      <c r="A1848" s="10">
        <v>2427</v>
      </c>
      <c r="B1848" t="s">
        <v>2154</v>
      </c>
      <c r="C1848" s="2" t="s">
        <v>537</v>
      </c>
      <c r="D1848" s="1" t="s">
        <v>2094</v>
      </c>
      <c r="E1848">
        <v>198</v>
      </c>
      <c r="F1848">
        <v>260</v>
      </c>
      <c r="G1848">
        <v>280</v>
      </c>
      <c r="H1848">
        <v>345</v>
      </c>
    </row>
    <row r="1849" spans="1:8" x14ac:dyDescent="0.25">
      <c r="A1849" s="10">
        <v>2428</v>
      </c>
      <c r="B1849" t="s">
        <v>2154</v>
      </c>
      <c r="C1849" s="2" t="s">
        <v>538</v>
      </c>
      <c r="D1849" s="1" t="s">
        <v>2094</v>
      </c>
      <c r="E1849">
        <v>210</v>
      </c>
      <c r="F1849">
        <v>280</v>
      </c>
      <c r="G1849">
        <v>290</v>
      </c>
      <c r="H1849">
        <v>365</v>
      </c>
    </row>
    <row r="1850" spans="1:8" x14ac:dyDescent="0.25">
      <c r="A1850" s="10">
        <v>2429</v>
      </c>
      <c r="B1850" t="s">
        <v>2154</v>
      </c>
      <c r="C1850" s="2" t="s">
        <v>539</v>
      </c>
      <c r="D1850" s="1" t="s">
        <v>2094</v>
      </c>
      <c r="E1850">
        <v>265</v>
      </c>
      <c r="F1850">
        <v>350</v>
      </c>
      <c r="G1850">
        <v>380</v>
      </c>
      <c r="H1850">
        <v>395</v>
      </c>
    </row>
    <row r="1851" spans="1:8" x14ac:dyDescent="0.25">
      <c r="A1851" s="10">
        <v>2430</v>
      </c>
      <c r="B1851" t="s">
        <v>2154</v>
      </c>
      <c r="C1851" s="2" t="s">
        <v>540</v>
      </c>
      <c r="D1851" s="1" t="s">
        <v>2094</v>
      </c>
      <c r="E1851">
        <v>266</v>
      </c>
      <c r="F1851">
        <v>355</v>
      </c>
      <c r="G1851">
        <v>390</v>
      </c>
      <c r="H1851">
        <v>425</v>
      </c>
    </row>
    <row r="1852" spans="1:8" x14ac:dyDescent="0.25">
      <c r="A1852" s="10">
        <v>2431</v>
      </c>
      <c r="B1852" t="s">
        <v>2154</v>
      </c>
      <c r="C1852" s="2" t="s">
        <v>541</v>
      </c>
      <c r="D1852" s="1" t="s">
        <v>2094</v>
      </c>
      <c r="E1852">
        <v>285</v>
      </c>
      <c r="F1852">
        <v>360</v>
      </c>
      <c r="G1852">
        <v>390</v>
      </c>
      <c r="H1852">
        <v>445</v>
      </c>
    </row>
    <row r="1853" spans="1:8" x14ac:dyDescent="0.25">
      <c r="A1853" s="10">
        <v>2432</v>
      </c>
      <c r="B1853" t="s">
        <v>2154</v>
      </c>
      <c r="C1853" s="2" t="s">
        <v>542</v>
      </c>
      <c r="D1853" s="1" t="s">
        <v>2094</v>
      </c>
      <c r="E1853">
        <v>288</v>
      </c>
      <c r="F1853">
        <v>380</v>
      </c>
      <c r="G1853">
        <v>390</v>
      </c>
      <c r="H1853">
        <v>465</v>
      </c>
    </row>
    <row r="1854" spans="1:8" x14ac:dyDescent="0.25">
      <c r="A1854" s="10">
        <v>2433</v>
      </c>
      <c r="B1854" t="s">
        <v>2154</v>
      </c>
      <c r="C1854" s="2" t="s">
        <v>543</v>
      </c>
      <c r="D1854" s="1" t="s">
        <v>2094</v>
      </c>
      <c r="E1854">
        <v>295</v>
      </c>
      <c r="F1854">
        <v>395</v>
      </c>
      <c r="G1854">
        <v>395</v>
      </c>
      <c r="H1854">
        <v>480</v>
      </c>
    </row>
    <row r="1855" spans="1:8" x14ac:dyDescent="0.25">
      <c r="A1855" s="10">
        <v>2434</v>
      </c>
      <c r="B1855" t="s">
        <v>2154</v>
      </c>
      <c r="C1855" s="2" t="s">
        <v>545</v>
      </c>
      <c r="D1855" s="1" t="s">
        <v>2094</v>
      </c>
    </row>
    <row r="1856" spans="1:8" x14ac:dyDescent="0.25">
      <c r="A1856" s="10">
        <v>2435</v>
      </c>
      <c r="B1856" t="s">
        <v>2154</v>
      </c>
      <c r="C1856" s="2" t="s">
        <v>544</v>
      </c>
      <c r="D1856" s="1" t="s">
        <v>2094</v>
      </c>
    </row>
    <row r="1857" spans="1:8" x14ac:dyDescent="0.25">
      <c r="A1857" s="10">
        <v>2436</v>
      </c>
      <c r="B1857" t="s">
        <v>2154</v>
      </c>
      <c r="C1857" s="2" t="s">
        <v>546</v>
      </c>
      <c r="D1857" s="1" t="s">
        <v>2094</v>
      </c>
    </row>
    <row r="1858" spans="1:8" x14ac:dyDescent="0.25">
      <c r="A1858" s="10">
        <v>2437</v>
      </c>
      <c r="B1858" t="s">
        <v>2154</v>
      </c>
      <c r="C1858" s="2" t="s">
        <v>547</v>
      </c>
      <c r="D1858" s="1" t="s">
        <v>2094</v>
      </c>
    </row>
    <row r="1859" spans="1:8" x14ac:dyDescent="0.25">
      <c r="A1859" s="10">
        <v>2438</v>
      </c>
      <c r="B1859" t="s">
        <v>2154</v>
      </c>
      <c r="C1859" s="2" t="s">
        <v>548</v>
      </c>
      <c r="D1859" s="1" t="s">
        <v>2094</v>
      </c>
    </row>
    <row r="1860" spans="1:8" x14ac:dyDescent="0.25">
      <c r="A1860" s="10">
        <v>2439</v>
      </c>
      <c r="B1860" t="s">
        <v>2154</v>
      </c>
      <c r="C1860" s="2" t="s">
        <v>549</v>
      </c>
      <c r="D1860" s="1" t="s">
        <v>2094</v>
      </c>
    </row>
    <row r="1861" spans="1:8" x14ac:dyDescent="0.25">
      <c r="A1861" s="10">
        <v>2440</v>
      </c>
      <c r="B1861" t="s">
        <v>2154</v>
      </c>
      <c r="C1861" s="2" t="s">
        <v>550</v>
      </c>
      <c r="D1861" s="1" t="s">
        <v>2094</v>
      </c>
    </row>
    <row r="1862" spans="1:8" x14ac:dyDescent="0.25">
      <c r="A1862" s="10">
        <v>2441</v>
      </c>
      <c r="B1862" t="s">
        <v>2154</v>
      </c>
      <c r="C1862" s="2" t="s">
        <v>551</v>
      </c>
      <c r="D1862" s="1" t="s">
        <v>2094</v>
      </c>
    </row>
    <row r="1863" spans="1:8" x14ac:dyDescent="0.25">
      <c r="A1863" s="10">
        <v>2442</v>
      </c>
      <c r="B1863" t="s">
        <v>2154</v>
      </c>
      <c r="C1863" s="2" t="s">
        <v>552</v>
      </c>
      <c r="D1863" s="1" t="s">
        <v>2094</v>
      </c>
    </row>
    <row r="1864" spans="1:8" x14ac:dyDescent="0.25">
      <c r="A1864" s="10">
        <v>2443</v>
      </c>
      <c r="B1864" t="s">
        <v>2154</v>
      </c>
      <c r="C1864" s="2" t="s">
        <v>553</v>
      </c>
      <c r="D1864" s="1" t="s">
        <v>2094</v>
      </c>
    </row>
    <row r="1865" spans="1:8" x14ac:dyDescent="0.25">
      <c r="A1865" s="10">
        <v>2444</v>
      </c>
      <c r="B1865" t="s">
        <v>2154</v>
      </c>
      <c r="C1865" s="2" t="s">
        <v>554</v>
      </c>
      <c r="D1865" s="1" t="s">
        <v>2094</v>
      </c>
    </row>
    <row r="1866" spans="1:8" x14ac:dyDescent="0.25">
      <c r="A1866" s="10">
        <v>2445</v>
      </c>
      <c r="B1866" t="s">
        <v>2154</v>
      </c>
      <c r="C1866" s="2" t="s">
        <v>555</v>
      </c>
      <c r="D1866" s="1" t="s">
        <v>2094</v>
      </c>
    </row>
    <row r="1867" spans="1:8" x14ac:dyDescent="0.25">
      <c r="C1867" s="2"/>
    </row>
    <row r="1868" spans="1:8" x14ac:dyDescent="0.25">
      <c r="A1868" s="10">
        <v>2446</v>
      </c>
      <c r="B1868" t="s">
        <v>2155</v>
      </c>
      <c r="C1868" s="2" t="s">
        <v>717</v>
      </c>
      <c r="D1868" s="1" t="s">
        <v>2094</v>
      </c>
      <c r="E1868">
        <v>59</v>
      </c>
      <c r="F1868">
        <v>70</v>
      </c>
      <c r="G1868">
        <v>80</v>
      </c>
      <c r="H1868">
        <v>95</v>
      </c>
    </row>
    <row r="1869" spans="1:8" x14ac:dyDescent="0.25">
      <c r="A1869" s="10">
        <v>2447</v>
      </c>
      <c r="B1869" t="s">
        <v>2155</v>
      </c>
      <c r="C1869" s="2" t="s">
        <v>718</v>
      </c>
      <c r="D1869" s="1" t="s">
        <v>2094</v>
      </c>
      <c r="E1869">
        <v>79</v>
      </c>
      <c r="F1869">
        <v>105</v>
      </c>
      <c r="G1869">
        <v>120</v>
      </c>
      <c r="H1869">
        <v>145</v>
      </c>
    </row>
    <row r="1870" spans="1:8" x14ac:dyDescent="0.25">
      <c r="A1870" s="10">
        <v>2448</v>
      </c>
      <c r="B1870" t="s">
        <v>2155</v>
      </c>
      <c r="C1870" s="2" t="s">
        <v>719</v>
      </c>
      <c r="D1870" s="1" t="s">
        <v>2094</v>
      </c>
      <c r="E1870">
        <v>135</v>
      </c>
      <c r="F1870">
        <f>SUM(G1870-30)</f>
        <v>150</v>
      </c>
      <c r="G1870">
        <v>180</v>
      </c>
      <c r="H1870">
        <v>195</v>
      </c>
    </row>
    <row r="1871" spans="1:8" x14ac:dyDescent="0.25">
      <c r="A1871" s="10">
        <v>2449</v>
      </c>
      <c r="B1871" t="s">
        <v>2155</v>
      </c>
      <c r="C1871" s="2" t="s">
        <v>720</v>
      </c>
      <c r="D1871" s="1" t="s">
        <v>2094</v>
      </c>
      <c r="E1871">
        <v>188</v>
      </c>
      <c r="F1871">
        <f t="shared" ref="F1871:F1882" si="27">SUM(G1871-30)</f>
        <v>250</v>
      </c>
      <c r="G1871">
        <v>280</v>
      </c>
      <c r="H1871">
        <v>295</v>
      </c>
    </row>
    <row r="1872" spans="1:8" x14ac:dyDescent="0.25">
      <c r="A1872" s="10">
        <v>2450</v>
      </c>
      <c r="B1872" t="s">
        <v>2155</v>
      </c>
      <c r="C1872" s="2" t="s">
        <v>721</v>
      </c>
      <c r="D1872" s="1" t="s">
        <v>2094</v>
      </c>
      <c r="E1872">
        <v>218</v>
      </c>
      <c r="F1872">
        <f t="shared" si="27"/>
        <v>260</v>
      </c>
      <c r="G1872">
        <v>290</v>
      </c>
      <c r="H1872">
        <v>320</v>
      </c>
    </row>
    <row r="1873" spans="1:8" x14ac:dyDescent="0.25">
      <c r="A1873" s="10">
        <v>2451</v>
      </c>
      <c r="B1873" t="s">
        <v>2155</v>
      </c>
      <c r="C1873" s="2" t="s">
        <v>722</v>
      </c>
      <c r="D1873" s="1" t="s">
        <v>2094</v>
      </c>
      <c r="E1873">
        <v>225</v>
      </c>
      <c r="F1873">
        <f t="shared" si="27"/>
        <v>290</v>
      </c>
      <c r="G1873">
        <v>320</v>
      </c>
      <c r="H1873">
        <v>340</v>
      </c>
    </row>
    <row r="1874" spans="1:8" x14ac:dyDescent="0.25">
      <c r="A1874" s="10">
        <v>2452</v>
      </c>
      <c r="B1874" t="s">
        <v>2155</v>
      </c>
      <c r="C1874" s="2" t="s">
        <v>723</v>
      </c>
      <c r="D1874" s="1" t="s">
        <v>2094</v>
      </c>
      <c r="E1874">
        <v>273</v>
      </c>
      <c r="F1874">
        <f t="shared" si="27"/>
        <v>350</v>
      </c>
      <c r="G1874">
        <v>380</v>
      </c>
      <c r="H1874">
        <v>395</v>
      </c>
    </row>
    <row r="1875" spans="1:8" x14ac:dyDescent="0.25">
      <c r="A1875" s="10">
        <v>2453</v>
      </c>
      <c r="B1875" t="s">
        <v>2155</v>
      </c>
      <c r="C1875" s="2" t="s">
        <v>724</v>
      </c>
      <c r="D1875" s="1" t="s">
        <v>2094</v>
      </c>
      <c r="E1875">
        <v>303</v>
      </c>
      <c r="F1875">
        <f t="shared" si="27"/>
        <v>360</v>
      </c>
      <c r="G1875">
        <v>390</v>
      </c>
      <c r="H1875">
        <v>415</v>
      </c>
    </row>
    <row r="1876" spans="1:8" x14ac:dyDescent="0.25">
      <c r="A1876" s="10">
        <v>2454</v>
      </c>
      <c r="B1876" t="s">
        <v>2155</v>
      </c>
      <c r="C1876" s="2" t="s">
        <v>725</v>
      </c>
      <c r="D1876" s="1" t="s">
        <v>2094</v>
      </c>
      <c r="E1876">
        <v>308</v>
      </c>
      <c r="F1876">
        <f t="shared" si="27"/>
        <v>360</v>
      </c>
      <c r="G1876">
        <v>390</v>
      </c>
      <c r="H1876">
        <v>415</v>
      </c>
    </row>
    <row r="1877" spans="1:8" x14ac:dyDescent="0.25">
      <c r="A1877" s="10">
        <v>2455</v>
      </c>
      <c r="B1877" t="s">
        <v>2155</v>
      </c>
      <c r="C1877" s="2" t="s">
        <v>726</v>
      </c>
      <c r="D1877" s="1" t="s">
        <v>2094</v>
      </c>
      <c r="E1877">
        <v>356</v>
      </c>
      <c r="F1877">
        <f t="shared" si="27"/>
        <v>450</v>
      </c>
      <c r="G1877">
        <v>480</v>
      </c>
      <c r="H1877">
        <v>495</v>
      </c>
    </row>
    <row r="1878" spans="1:8" x14ac:dyDescent="0.25">
      <c r="A1878" s="10">
        <v>2456</v>
      </c>
      <c r="B1878" t="s">
        <v>2155</v>
      </c>
      <c r="C1878" s="2" t="s">
        <v>727</v>
      </c>
      <c r="D1878" s="1" t="s">
        <v>2094</v>
      </c>
      <c r="E1878">
        <v>570</v>
      </c>
      <c r="F1878">
        <f t="shared" si="27"/>
        <v>730</v>
      </c>
      <c r="G1878">
        <v>760</v>
      </c>
      <c r="H1878">
        <v>795</v>
      </c>
    </row>
    <row r="1879" spans="1:8" x14ac:dyDescent="0.25">
      <c r="A1879" s="10">
        <v>2457</v>
      </c>
      <c r="B1879" t="s">
        <v>2155</v>
      </c>
      <c r="C1879" s="2" t="s">
        <v>728</v>
      </c>
      <c r="D1879" s="1" t="s">
        <v>2094</v>
      </c>
      <c r="E1879">
        <v>570</v>
      </c>
      <c r="F1879">
        <f t="shared" si="27"/>
        <v>730</v>
      </c>
      <c r="G1879">
        <v>760</v>
      </c>
      <c r="H1879">
        <v>795</v>
      </c>
    </row>
    <row r="1880" spans="1:8" x14ac:dyDescent="0.25">
      <c r="A1880" s="10">
        <v>2458</v>
      </c>
      <c r="B1880" t="s">
        <v>2155</v>
      </c>
      <c r="C1880" s="2" t="s">
        <v>729</v>
      </c>
      <c r="D1880" s="1" t="s">
        <v>2094</v>
      </c>
      <c r="E1880">
        <v>580</v>
      </c>
      <c r="F1880">
        <f t="shared" si="27"/>
        <v>750</v>
      </c>
      <c r="G1880">
        <v>780</v>
      </c>
      <c r="H1880">
        <v>795</v>
      </c>
    </row>
    <row r="1881" spans="1:8" x14ac:dyDescent="0.25">
      <c r="A1881" s="10">
        <v>2459</v>
      </c>
      <c r="B1881" t="s">
        <v>2155</v>
      </c>
      <c r="C1881" s="2" t="s">
        <v>730</v>
      </c>
      <c r="D1881" s="1" t="s">
        <v>2094</v>
      </c>
      <c r="E1881">
        <v>588</v>
      </c>
      <c r="F1881">
        <f t="shared" si="27"/>
        <v>750</v>
      </c>
      <c r="G1881">
        <v>780</v>
      </c>
      <c r="H1881">
        <v>795</v>
      </c>
    </row>
    <row r="1882" spans="1:8" x14ac:dyDescent="0.25">
      <c r="A1882" s="10">
        <v>2460</v>
      </c>
      <c r="B1882" t="s">
        <v>2155</v>
      </c>
      <c r="C1882" s="2" t="s">
        <v>731</v>
      </c>
      <c r="D1882" s="1" t="s">
        <v>2094</v>
      </c>
      <c r="E1882">
        <v>590</v>
      </c>
      <c r="F1882">
        <f t="shared" si="27"/>
        <v>760</v>
      </c>
      <c r="G1882">
        <v>790</v>
      </c>
      <c r="H1882">
        <v>850</v>
      </c>
    </row>
    <row r="1883" spans="1:8" x14ac:dyDescent="0.25">
      <c r="A1883" s="10">
        <v>2461</v>
      </c>
      <c r="B1883" t="s">
        <v>2155</v>
      </c>
      <c r="C1883" s="2" t="s">
        <v>732</v>
      </c>
      <c r="D1883" s="1" t="s">
        <v>2094</v>
      </c>
    </row>
    <row r="1884" spans="1:8" x14ac:dyDescent="0.25">
      <c r="A1884" s="10">
        <v>2462</v>
      </c>
      <c r="B1884" t="s">
        <v>2155</v>
      </c>
      <c r="C1884" s="2" t="s">
        <v>733</v>
      </c>
      <c r="D1884" s="1" t="s">
        <v>2094</v>
      </c>
    </row>
    <row r="1885" spans="1:8" x14ac:dyDescent="0.25">
      <c r="A1885" s="10">
        <v>2463</v>
      </c>
      <c r="B1885" t="s">
        <v>2155</v>
      </c>
      <c r="C1885" s="2" t="s">
        <v>734</v>
      </c>
      <c r="D1885" s="1" t="s">
        <v>2094</v>
      </c>
    </row>
    <row r="1886" spans="1:8" x14ac:dyDescent="0.25">
      <c r="A1886" s="10">
        <v>2464</v>
      </c>
      <c r="B1886" t="s">
        <v>2155</v>
      </c>
      <c r="C1886" s="2" t="s">
        <v>735</v>
      </c>
      <c r="D1886" s="1" t="s">
        <v>2094</v>
      </c>
    </row>
    <row r="1887" spans="1:8" x14ac:dyDescent="0.25">
      <c r="A1887" s="10">
        <v>2465</v>
      </c>
      <c r="B1887" t="s">
        <v>2155</v>
      </c>
      <c r="C1887" s="2" t="s">
        <v>736</v>
      </c>
      <c r="D1887" s="1" t="s">
        <v>2094</v>
      </c>
    </row>
    <row r="1888" spans="1:8" x14ac:dyDescent="0.25">
      <c r="A1888" s="10">
        <v>2466</v>
      </c>
      <c r="B1888" t="s">
        <v>2155</v>
      </c>
      <c r="C1888" s="2" t="s">
        <v>737</v>
      </c>
      <c r="D1888" s="1" t="s">
        <v>2094</v>
      </c>
    </row>
    <row r="1889" spans="1:8" x14ac:dyDescent="0.25">
      <c r="A1889" s="10">
        <v>2467</v>
      </c>
      <c r="B1889" t="s">
        <v>2155</v>
      </c>
      <c r="C1889" s="2" t="s">
        <v>738</v>
      </c>
      <c r="D1889" s="1" t="s">
        <v>2094</v>
      </c>
    </row>
    <row r="1890" spans="1:8" x14ac:dyDescent="0.25">
      <c r="A1890" s="10">
        <v>2468</v>
      </c>
      <c r="B1890" t="s">
        <v>2155</v>
      </c>
      <c r="C1890" s="2" t="s">
        <v>739</v>
      </c>
      <c r="D1890" s="1" t="s">
        <v>2094</v>
      </c>
    </row>
    <row r="1891" spans="1:8" x14ac:dyDescent="0.25">
      <c r="A1891" s="10">
        <v>2469</v>
      </c>
      <c r="B1891" t="s">
        <v>2155</v>
      </c>
      <c r="C1891" s="2" t="s">
        <v>740</v>
      </c>
      <c r="D1891" s="1" t="s">
        <v>2094</v>
      </c>
    </row>
    <row r="1892" spans="1:8" x14ac:dyDescent="0.25">
      <c r="A1892" s="10">
        <v>2470</v>
      </c>
      <c r="B1892" t="s">
        <v>2155</v>
      </c>
      <c r="C1892" s="2" t="s">
        <v>741</v>
      </c>
      <c r="D1892" s="1" t="s">
        <v>2094</v>
      </c>
    </row>
    <row r="1893" spans="1:8" x14ac:dyDescent="0.25">
      <c r="A1893" s="10">
        <v>2471</v>
      </c>
      <c r="B1893" t="s">
        <v>2155</v>
      </c>
      <c r="C1893" s="2" t="s">
        <v>742</v>
      </c>
      <c r="D1893" s="1" t="s">
        <v>2094</v>
      </c>
    </row>
    <row r="1895" spans="1:8" x14ac:dyDescent="0.25">
      <c r="A1895" s="10">
        <v>2472</v>
      </c>
      <c r="B1895" t="s">
        <v>4302</v>
      </c>
      <c r="C1895" s="2" t="s">
        <v>350</v>
      </c>
      <c r="D1895" t="s">
        <v>2096</v>
      </c>
      <c r="E1895">
        <v>22.03</v>
      </c>
      <c r="F1895">
        <f>SUM(G1895-20)</f>
        <v>20</v>
      </c>
      <c r="G1895">
        <v>40</v>
      </c>
      <c r="H1895">
        <f>SUM(G1895+10)</f>
        <v>50</v>
      </c>
    </row>
    <row r="1896" spans="1:8" x14ac:dyDescent="0.25">
      <c r="A1896" s="10">
        <v>2473</v>
      </c>
      <c r="B1896" t="s">
        <v>4303</v>
      </c>
      <c r="C1896" s="2" t="s">
        <v>351</v>
      </c>
      <c r="D1896" t="s">
        <v>2096</v>
      </c>
      <c r="E1896">
        <v>46.26</v>
      </c>
      <c r="F1896">
        <f t="shared" ref="F1896:F1947" si="28">SUM(G1896-20)</f>
        <v>55</v>
      </c>
      <c r="G1896">
        <v>75</v>
      </c>
      <c r="H1896">
        <f t="shared" ref="H1896:H1947" si="29">SUM(G1896+10)</f>
        <v>85</v>
      </c>
    </row>
    <row r="1897" spans="1:8" x14ac:dyDescent="0.25">
      <c r="A1897" s="10">
        <v>2474</v>
      </c>
      <c r="B1897" t="s">
        <v>2093</v>
      </c>
      <c r="C1897" s="2" t="s">
        <v>352</v>
      </c>
      <c r="D1897" t="s">
        <v>2096</v>
      </c>
      <c r="E1897">
        <v>50</v>
      </c>
      <c r="F1897">
        <v>8</v>
      </c>
      <c r="G1897">
        <v>75</v>
      </c>
      <c r="H1897">
        <f t="shared" si="29"/>
        <v>85</v>
      </c>
    </row>
    <row r="1898" spans="1:8" x14ac:dyDescent="0.25">
      <c r="A1898" s="10">
        <v>2475</v>
      </c>
      <c r="B1898" t="s">
        <v>2093</v>
      </c>
      <c r="C1898" s="2" t="s">
        <v>353</v>
      </c>
      <c r="D1898" t="s">
        <v>2096</v>
      </c>
      <c r="E1898">
        <v>71.819999999999993</v>
      </c>
      <c r="F1898">
        <f t="shared" si="28"/>
        <v>110</v>
      </c>
      <c r="G1898">
        <v>130</v>
      </c>
      <c r="H1898">
        <f t="shared" si="29"/>
        <v>140</v>
      </c>
    </row>
    <row r="1899" spans="1:8" x14ac:dyDescent="0.25">
      <c r="A1899" s="10">
        <v>2476</v>
      </c>
      <c r="B1899" t="s">
        <v>2093</v>
      </c>
      <c r="C1899" s="2" t="s">
        <v>354</v>
      </c>
      <c r="D1899" t="s">
        <v>2096</v>
      </c>
      <c r="E1899">
        <v>104.23</v>
      </c>
      <c r="F1899">
        <f t="shared" si="28"/>
        <v>170</v>
      </c>
      <c r="G1899">
        <v>190</v>
      </c>
      <c r="H1899">
        <f t="shared" si="29"/>
        <v>200</v>
      </c>
    </row>
    <row r="1900" spans="1:8" x14ac:dyDescent="0.25">
      <c r="A1900" s="10">
        <v>2477</v>
      </c>
      <c r="B1900" t="s">
        <v>2093</v>
      </c>
      <c r="C1900" s="2" t="s">
        <v>355</v>
      </c>
      <c r="D1900" t="s">
        <v>2096</v>
      </c>
      <c r="E1900">
        <v>199.65</v>
      </c>
      <c r="F1900">
        <f t="shared" si="28"/>
        <v>270</v>
      </c>
      <c r="G1900">
        <v>290</v>
      </c>
      <c r="H1900">
        <f t="shared" si="29"/>
        <v>300</v>
      </c>
    </row>
    <row r="1901" spans="1:8" x14ac:dyDescent="0.25">
      <c r="A1901" s="10">
        <v>2478</v>
      </c>
      <c r="B1901" t="s">
        <v>2093</v>
      </c>
      <c r="C1901" s="2" t="s">
        <v>356</v>
      </c>
      <c r="D1901" t="s">
        <v>2096</v>
      </c>
      <c r="E1901">
        <v>615</v>
      </c>
      <c r="F1901">
        <f t="shared" si="28"/>
        <v>855</v>
      </c>
      <c r="G1901">
        <v>875</v>
      </c>
      <c r="H1901">
        <f t="shared" si="29"/>
        <v>885</v>
      </c>
    </row>
    <row r="1902" spans="1:8" x14ac:dyDescent="0.25">
      <c r="A1902" s="10">
        <v>2479</v>
      </c>
      <c r="B1902" t="s">
        <v>2093</v>
      </c>
      <c r="C1902" s="2" t="s">
        <v>357</v>
      </c>
      <c r="D1902" t="s">
        <v>2096</v>
      </c>
      <c r="E1902">
        <v>795</v>
      </c>
      <c r="F1902">
        <f t="shared" si="28"/>
        <v>955</v>
      </c>
      <c r="G1902">
        <v>975</v>
      </c>
      <c r="H1902">
        <f t="shared" si="29"/>
        <v>985</v>
      </c>
    </row>
    <row r="1903" spans="1:8" x14ac:dyDescent="0.25">
      <c r="A1903" s="10">
        <v>2480</v>
      </c>
      <c r="B1903" t="s">
        <v>2093</v>
      </c>
      <c r="C1903" s="2" t="s">
        <v>358</v>
      </c>
      <c r="D1903" t="s">
        <v>2096</v>
      </c>
      <c r="E1903">
        <v>1092</v>
      </c>
      <c r="F1903">
        <v>1200</v>
      </c>
      <c r="G1903">
        <v>1375</v>
      </c>
      <c r="H1903">
        <v>1410</v>
      </c>
    </row>
    <row r="1904" spans="1:8" x14ac:dyDescent="0.25">
      <c r="A1904" s="10">
        <v>2481</v>
      </c>
      <c r="B1904" t="s">
        <v>2149</v>
      </c>
      <c r="C1904" s="2" t="s">
        <v>366</v>
      </c>
      <c r="D1904" t="s">
        <v>2096</v>
      </c>
      <c r="E1904">
        <v>28.92</v>
      </c>
      <c r="F1904">
        <f t="shared" si="28"/>
        <v>30</v>
      </c>
      <c r="G1904">
        <v>50</v>
      </c>
      <c r="H1904">
        <f t="shared" si="29"/>
        <v>60</v>
      </c>
    </row>
    <row r="1905" spans="1:8" x14ac:dyDescent="0.25">
      <c r="A1905" s="10">
        <v>2482</v>
      </c>
      <c r="B1905" t="s">
        <v>2149</v>
      </c>
      <c r="C1905" s="2" t="s">
        <v>365</v>
      </c>
      <c r="D1905" t="s">
        <v>2096</v>
      </c>
      <c r="E1905">
        <v>53.65</v>
      </c>
      <c r="F1905">
        <f t="shared" si="28"/>
        <v>60</v>
      </c>
      <c r="G1905">
        <v>80</v>
      </c>
      <c r="H1905">
        <f t="shared" si="29"/>
        <v>90</v>
      </c>
    </row>
    <row r="1906" spans="1:8" x14ac:dyDescent="0.25">
      <c r="A1906" s="10">
        <v>2483</v>
      </c>
      <c r="B1906" t="s">
        <v>2149</v>
      </c>
      <c r="C1906" s="2" t="s">
        <v>367</v>
      </c>
      <c r="D1906" t="s">
        <v>2096</v>
      </c>
      <c r="E1906">
        <v>53.24</v>
      </c>
      <c r="F1906">
        <f t="shared" si="28"/>
        <v>80</v>
      </c>
      <c r="G1906">
        <v>100</v>
      </c>
      <c r="H1906">
        <f t="shared" si="29"/>
        <v>110</v>
      </c>
    </row>
    <row r="1907" spans="1:8" x14ac:dyDescent="0.25">
      <c r="A1907" s="10">
        <v>2484</v>
      </c>
      <c r="B1907" t="s">
        <v>2149</v>
      </c>
      <c r="C1907" s="2" t="s">
        <v>364</v>
      </c>
      <c r="D1907" t="s">
        <v>2096</v>
      </c>
      <c r="E1907">
        <v>74.86</v>
      </c>
      <c r="F1907">
        <f t="shared" si="28"/>
        <v>110</v>
      </c>
      <c r="G1907">
        <v>130</v>
      </c>
      <c r="H1907">
        <f t="shared" si="29"/>
        <v>140</v>
      </c>
    </row>
    <row r="1908" spans="1:8" x14ac:dyDescent="0.25">
      <c r="A1908" s="10">
        <v>2485</v>
      </c>
      <c r="B1908" t="s">
        <v>2149</v>
      </c>
      <c r="C1908" s="2" t="s">
        <v>363</v>
      </c>
      <c r="D1908" t="s">
        <v>2096</v>
      </c>
      <c r="E1908">
        <v>113.42</v>
      </c>
      <c r="F1908">
        <f t="shared" si="28"/>
        <v>170</v>
      </c>
      <c r="G1908">
        <v>190</v>
      </c>
      <c r="H1908">
        <f t="shared" si="29"/>
        <v>200</v>
      </c>
    </row>
    <row r="1909" spans="1:8" x14ac:dyDescent="0.25">
      <c r="A1909" s="10">
        <v>2486</v>
      </c>
      <c r="B1909" t="s">
        <v>2149</v>
      </c>
      <c r="C1909" s="2" t="s">
        <v>359</v>
      </c>
      <c r="D1909" t="s">
        <v>2096</v>
      </c>
      <c r="E1909">
        <v>217.91</v>
      </c>
      <c r="F1909">
        <f t="shared" si="28"/>
        <v>320</v>
      </c>
      <c r="G1909">
        <v>340</v>
      </c>
      <c r="H1909">
        <f t="shared" si="29"/>
        <v>350</v>
      </c>
    </row>
    <row r="1910" spans="1:8" x14ac:dyDescent="0.25">
      <c r="A1910" s="10">
        <v>2487</v>
      </c>
      <c r="B1910" t="s">
        <v>2149</v>
      </c>
      <c r="C1910" s="2" t="s">
        <v>362</v>
      </c>
      <c r="D1910" t="s">
        <v>2096</v>
      </c>
      <c r="E1910">
        <v>429.1</v>
      </c>
      <c r="F1910">
        <f t="shared" si="28"/>
        <v>550</v>
      </c>
      <c r="G1910">
        <v>570</v>
      </c>
      <c r="H1910">
        <f t="shared" si="29"/>
        <v>580</v>
      </c>
    </row>
    <row r="1911" spans="1:8" x14ac:dyDescent="0.25">
      <c r="A1911" s="10">
        <v>2488</v>
      </c>
      <c r="B1911" t="s">
        <v>2149</v>
      </c>
      <c r="C1911" s="2" t="s">
        <v>361</v>
      </c>
      <c r="D1911" t="s">
        <v>2096</v>
      </c>
      <c r="E1911">
        <v>799.4</v>
      </c>
      <c r="F1911">
        <f t="shared" si="28"/>
        <v>850</v>
      </c>
      <c r="G1911">
        <v>870</v>
      </c>
      <c r="H1911">
        <f t="shared" si="29"/>
        <v>880</v>
      </c>
    </row>
    <row r="1912" spans="1:8" x14ac:dyDescent="0.25">
      <c r="A1912" s="10">
        <v>2489</v>
      </c>
      <c r="B1912" t="s">
        <v>2149</v>
      </c>
      <c r="C1912" s="2" t="s">
        <v>360</v>
      </c>
      <c r="D1912" t="s">
        <v>2096</v>
      </c>
      <c r="E1912">
        <v>1279.5999999999999</v>
      </c>
      <c r="F1912">
        <v>1300</v>
      </c>
      <c r="G1912">
        <v>1375</v>
      </c>
      <c r="H1912">
        <v>1520</v>
      </c>
    </row>
    <row r="1913" spans="1:8" x14ac:dyDescent="0.25">
      <c r="A1913" s="10">
        <v>2490</v>
      </c>
      <c r="B1913" t="s">
        <v>2150</v>
      </c>
      <c r="C1913" s="2" t="s">
        <v>368</v>
      </c>
      <c r="D1913" t="s">
        <v>2096</v>
      </c>
      <c r="E1913">
        <v>32.67</v>
      </c>
      <c r="F1913">
        <f t="shared" si="28"/>
        <v>30</v>
      </c>
      <c r="G1913">
        <v>50</v>
      </c>
      <c r="H1913">
        <f t="shared" si="29"/>
        <v>60</v>
      </c>
    </row>
    <row r="1914" spans="1:8" x14ac:dyDescent="0.25">
      <c r="A1914" s="10">
        <v>2491</v>
      </c>
      <c r="B1914" t="s">
        <v>2150</v>
      </c>
      <c r="C1914" s="2" t="s">
        <v>369</v>
      </c>
      <c r="D1914" t="s">
        <v>2096</v>
      </c>
      <c r="E1914">
        <v>59.65</v>
      </c>
      <c r="F1914">
        <f t="shared" si="28"/>
        <v>60</v>
      </c>
      <c r="G1914">
        <v>80</v>
      </c>
      <c r="H1914">
        <f t="shared" si="29"/>
        <v>90</v>
      </c>
    </row>
    <row r="1915" spans="1:8" x14ac:dyDescent="0.25">
      <c r="A1915" s="10">
        <v>2492</v>
      </c>
      <c r="B1915" t="s">
        <v>2150</v>
      </c>
      <c r="C1915" s="2" t="s">
        <v>370</v>
      </c>
      <c r="D1915" t="s">
        <v>2096</v>
      </c>
      <c r="E1915">
        <v>51.01</v>
      </c>
      <c r="F1915">
        <f t="shared" si="28"/>
        <v>80</v>
      </c>
      <c r="G1915">
        <v>100</v>
      </c>
      <c r="H1915">
        <f t="shared" si="29"/>
        <v>110</v>
      </c>
    </row>
    <row r="1916" spans="1:8" x14ac:dyDescent="0.25">
      <c r="A1916" s="10">
        <v>2493</v>
      </c>
      <c r="B1916" t="s">
        <v>2150</v>
      </c>
      <c r="C1916" s="2" t="s">
        <v>371</v>
      </c>
      <c r="D1916" t="s">
        <v>2096</v>
      </c>
      <c r="E1916">
        <v>71.819999999999993</v>
      </c>
      <c r="F1916">
        <f t="shared" si="28"/>
        <v>110</v>
      </c>
      <c r="G1916">
        <v>130</v>
      </c>
      <c r="H1916">
        <f t="shared" si="29"/>
        <v>140</v>
      </c>
    </row>
    <row r="1917" spans="1:8" x14ac:dyDescent="0.25">
      <c r="A1917" s="10">
        <v>2494</v>
      </c>
      <c r="B1917" t="s">
        <v>2150</v>
      </c>
      <c r="C1917" s="2" t="s">
        <v>372</v>
      </c>
      <c r="D1917" t="s">
        <v>2096</v>
      </c>
      <c r="E1917">
        <v>122.1</v>
      </c>
      <c r="F1917">
        <f t="shared" si="28"/>
        <v>190</v>
      </c>
      <c r="G1917">
        <v>210</v>
      </c>
      <c r="H1917">
        <f t="shared" si="29"/>
        <v>220</v>
      </c>
    </row>
    <row r="1918" spans="1:8" x14ac:dyDescent="0.25">
      <c r="A1918" s="10">
        <v>2495</v>
      </c>
      <c r="B1918" t="s">
        <v>2150</v>
      </c>
      <c r="C1918" s="2" t="s">
        <v>373</v>
      </c>
      <c r="D1918" t="s">
        <v>2096</v>
      </c>
      <c r="E1918">
        <v>232.52</v>
      </c>
      <c r="F1918">
        <f t="shared" si="28"/>
        <v>320</v>
      </c>
      <c r="G1918">
        <v>340</v>
      </c>
      <c r="H1918">
        <f t="shared" si="29"/>
        <v>350</v>
      </c>
    </row>
    <row r="1919" spans="1:8" x14ac:dyDescent="0.25">
      <c r="A1919" s="10">
        <v>2496</v>
      </c>
      <c r="B1919" t="s">
        <v>2150</v>
      </c>
      <c r="C1919" s="2" t="s">
        <v>374</v>
      </c>
      <c r="D1919" t="s">
        <v>2096</v>
      </c>
      <c r="E1919">
        <v>374.84</v>
      </c>
      <c r="F1919">
        <f t="shared" si="28"/>
        <v>475</v>
      </c>
      <c r="G1919">
        <v>495</v>
      </c>
      <c r="H1919">
        <f t="shared" si="29"/>
        <v>505</v>
      </c>
    </row>
    <row r="1920" spans="1:8" x14ac:dyDescent="0.25">
      <c r="A1920" s="10">
        <v>2497</v>
      </c>
      <c r="B1920" t="s">
        <v>2150</v>
      </c>
      <c r="C1920" s="2" t="s">
        <v>375</v>
      </c>
      <c r="D1920" t="s">
        <v>2096</v>
      </c>
      <c r="E1920">
        <v>679</v>
      </c>
      <c r="F1920">
        <f t="shared" si="28"/>
        <v>875</v>
      </c>
      <c r="G1920">
        <v>895</v>
      </c>
      <c r="H1920">
        <f t="shared" si="29"/>
        <v>905</v>
      </c>
    </row>
    <row r="1921" spans="1:8" x14ac:dyDescent="0.25">
      <c r="A1921" s="10">
        <v>2498</v>
      </c>
      <c r="B1921" t="s">
        <v>2150</v>
      </c>
      <c r="C1921" s="2" t="s">
        <v>376</v>
      </c>
      <c r="D1921" t="s">
        <v>2096</v>
      </c>
      <c r="E1921">
        <v>1102</v>
      </c>
      <c r="F1921">
        <v>1200</v>
      </c>
      <c r="G1921">
        <v>1375</v>
      </c>
      <c r="H1921">
        <v>1550</v>
      </c>
    </row>
    <row r="1922" spans="1:8" x14ac:dyDescent="0.25">
      <c r="A1922" s="10">
        <v>2499</v>
      </c>
      <c r="B1922" t="s">
        <v>2151</v>
      </c>
      <c r="C1922" s="2" t="s">
        <v>377</v>
      </c>
      <c r="D1922" t="s">
        <v>2096</v>
      </c>
      <c r="E1922">
        <v>21.6</v>
      </c>
      <c r="F1922">
        <f t="shared" si="28"/>
        <v>30</v>
      </c>
      <c r="G1922">
        <v>50</v>
      </c>
      <c r="H1922">
        <f t="shared" si="29"/>
        <v>60</v>
      </c>
    </row>
    <row r="1923" spans="1:8" x14ac:dyDescent="0.25">
      <c r="A1923" s="10">
        <v>2500</v>
      </c>
      <c r="B1923" t="s">
        <v>2151</v>
      </c>
      <c r="C1923" s="2" t="s">
        <v>378</v>
      </c>
      <c r="D1923" t="s">
        <v>2096</v>
      </c>
      <c r="E1923">
        <v>62.69</v>
      </c>
      <c r="F1923">
        <f t="shared" si="28"/>
        <v>60</v>
      </c>
      <c r="G1923">
        <v>80</v>
      </c>
      <c r="H1923">
        <f t="shared" si="29"/>
        <v>90</v>
      </c>
    </row>
    <row r="1924" spans="1:8" x14ac:dyDescent="0.25">
      <c r="A1924" s="10">
        <v>2501</v>
      </c>
      <c r="B1924" t="s">
        <v>2151</v>
      </c>
      <c r="C1924" s="2" t="s">
        <v>379</v>
      </c>
      <c r="D1924" t="s">
        <v>2096</v>
      </c>
      <c r="E1924">
        <v>52.2</v>
      </c>
      <c r="F1924">
        <f t="shared" si="28"/>
        <v>60</v>
      </c>
      <c r="G1924">
        <v>80</v>
      </c>
      <c r="H1924">
        <f t="shared" si="29"/>
        <v>90</v>
      </c>
    </row>
    <row r="1925" spans="1:8" x14ac:dyDescent="0.25">
      <c r="A1925" s="10">
        <v>2502</v>
      </c>
      <c r="B1925" t="s">
        <v>2151</v>
      </c>
      <c r="C1925" s="2" t="s">
        <v>403</v>
      </c>
      <c r="D1925" t="s">
        <v>2096</v>
      </c>
      <c r="E1925">
        <v>74.86</v>
      </c>
      <c r="F1925">
        <f t="shared" si="28"/>
        <v>110</v>
      </c>
      <c r="G1925">
        <v>130</v>
      </c>
      <c r="H1925">
        <f t="shared" si="29"/>
        <v>140</v>
      </c>
    </row>
    <row r="1926" spans="1:8" x14ac:dyDescent="0.25">
      <c r="A1926" s="10">
        <v>2503</v>
      </c>
      <c r="B1926" t="s">
        <v>2151</v>
      </c>
      <c r="C1926" s="2" t="s">
        <v>380</v>
      </c>
      <c r="D1926" t="s">
        <v>2096</v>
      </c>
      <c r="E1926">
        <v>155.66999999999999</v>
      </c>
      <c r="F1926">
        <f t="shared" si="28"/>
        <v>220</v>
      </c>
      <c r="G1926">
        <v>240</v>
      </c>
      <c r="H1926">
        <f t="shared" si="29"/>
        <v>250</v>
      </c>
    </row>
    <row r="1927" spans="1:8" x14ac:dyDescent="0.25">
      <c r="A1927" s="10">
        <v>2504</v>
      </c>
      <c r="B1927" t="s">
        <v>2151</v>
      </c>
      <c r="C1927" s="2" t="s">
        <v>381</v>
      </c>
      <c r="D1927" t="s">
        <v>2096</v>
      </c>
      <c r="E1927">
        <v>328.08</v>
      </c>
      <c r="F1927">
        <f t="shared" si="28"/>
        <v>400</v>
      </c>
      <c r="G1927">
        <v>420</v>
      </c>
      <c r="H1927">
        <f t="shared" si="29"/>
        <v>430</v>
      </c>
    </row>
    <row r="1928" spans="1:8" x14ac:dyDescent="0.25">
      <c r="A1928" s="10">
        <v>2505</v>
      </c>
      <c r="B1928" t="s">
        <v>2151</v>
      </c>
      <c r="C1928" s="2" t="s">
        <v>382</v>
      </c>
      <c r="D1928" t="s">
        <v>2096</v>
      </c>
      <c r="E1928">
        <v>665.7</v>
      </c>
      <c r="F1928">
        <f t="shared" si="28"/>
        <v>855</v>
      </c>
      <c r="G1928">
        <v>875</v>
      </c>
      <c r="H1928">
        <f t="shared" si="29"/>
        <v>885</v>
      </c>
    </row>
    <row r="1929" spans="1:8" x14ac:dyDescent="0.25">
      <c r="A1929" s="10">
        <v>2506</v>
      </c>
      <c r="B1929" t="s">
        <v>2151</v>
      </c>
      <c r="C1929" s="2" t="s">
        <v>383</v>
      </c>
      <c r="D1929" t="s">
        <v>2096</v>
      </c>
      <c r="E1929">
        <v>1070</v>
      </c>
      <c r="F1929">
        <v>1200</v>
      </c>
      <c r="G1929">
        <v>1375</v>
      </c>
      <c r="H1929">
        <v>1450</v>
      </c>
    </row>
    <row r="1930" spans="1:8" x14ac:dyDescent="0.25">
      <c r="A1930" s="10">
        <v>2507</v>
      </c>
      <c r="B1930" t="s">
        <v>2151</v>
      </c>
      <c r="C1930" s="2" t="s">
        <v>384</v>
      </c>
      <c r="D1930" t="s">
        <v>2096</v>
      </c>
      <c r="E1930">
        <v>1595</v>
      </c>
      <c r="F1930">
        <v>1650</v>
      </c>
      <c r="G1930">
        <v>1875</v>
      </c>
      <c r="H1930">
        <v>2100</v>
      </c>
    </row>
    <row r="1931" spans="1:8" x14ac:dyDescent="0.25">
      <c r="A1931" s="10">
        <v>2508</v>
      </c>
      <c r="B1931" t="s">
        <v>2152</v>
      </c>
      <c r="C1931" s="2" t="s">
        <v>385</v>
      </c>
      <c r="D1931" t="s">
        <v>2096</v>
      </c>
      <c r="E1931">
        <v>31.42</v>
      </c>
      <c r="F1931">
        <f t="shared" si="28"/>
        <v>40</v>
      </c>
      <c r="G1931">
        <v>60</v>
      </c>
      <c r="H1931">
        <f t="shared" si="29"/>
        <v>70</v>
      </c>
    </row>
    <row r="1932" spans="1:8" x14ac:dyDescent="0.25">
      <c r="A1932" s="10">
        <v>2509</v>
      </c>
      <c r="B1932" t="s">
        <v>2152</v>
      </c>
      <c r="C1932" s="2" t="s">
        <v>386</v>
      </c>
      <c r="D1932" t="s">
        <v>2096</v>
      </c>
      <c r="E1932">
        <v>74.86</v>
      </c>
      <c r="F1932">
        <f t="shared" si="28"/>
        <v>80</v>
      </c>
      <c r="G1932">
        <v>100</v>
      </c>
      <c r="H1932">
        <f t="shared" si="29"/>
        <v>110</v>
      </c>
    </row>
    <row r="1933" spans="1:8" x14ac:dyDescent="0.25">
      <c r="A1933" s="10">
        <v>2510</v>
      </c>
      <c r="B1933" t="s">
        <v>2152</v>
      </c>
      <c r="C1933" s="2" t="s">
        <v>387</v>
      </c>
      <c r="D1933" t="s">
        <v>2096</v>
      </c>
      <c r="E1933">
        <v>79.89</v>
      </c>
      <c r="F1933">
        <f t="shared" si="28"/>
        <v>100</v>
      </c>
      <c r="G1933">
        <v>120</v>
      </c>
      <c r="H1933">
        <f t="shared" si="29"/>
        <v>130</v>
      </c>
    </row>
    <row r="1934" spans="1:8" x14ac:dyDescent="0.25">
      <c r="A1934" s="10">
        <v>2511</v>
      </c>
      <c r="B1934" t="s">
        <v>2152</v>
      </c>
      <c r="C1934" s="2" t="s">
        <v>388</v>
      </c>
      <c r="D1934" t="s">
        <v>2096</v>
      </c>
      <c r="E1934">
        <v>113.21</v>
      </c>
      <c r="F1934">
        <f t="shared" si="28"/>
        <v>170</v>
      </c>
      <c r="G1934">
        <v>190</v>
      </c>
      <c r="H1934">
        <f t="shared" si="29"/>
        <v>200</v>
      </c>
    </row>
    <row r="1935" spans="1:8" x14ac:dyDescent="0.25">
      <c r="A1935" s="10">
        <v>2512</v>
      </c>
      <c r="B1935" t="s">
        <v>2152</v>
      </c>
      <c r="C1935" s="2" t="s">
        <v>389</v>
      </c>
      <c r="D1935" t="s">
        <v>2096</v>
      </c>
      <c r="E1935">
        <v>218.02</v>
      </c>
      <c r="F1935">
        <f t="shared" si="28"/>
        <v>270</v>
      </c>
      <c r="G1935">
        <v>290</v>
      </c>
      <c r="H1935">
        <f t="shared" si="29"/>
        <v>300</v>
      </c>
    </row>
    <row r="1936" spans="1:8" x14ac:dyDescent="0.25">
      <c r="A1936" s="10">
        <v>2513</v>
      </c>
      <c r="B1936" t="s">
        <v>2152</v>
      </c>
      <c r="C1936" s="2" t="s">
        <v>390</v>
      </c>
      <c r="D1936" t="s">
        <v>2096</v>
      </c>
      <c r="E1936">
        <v>420</v>
      </c>
      <c r="F1936">
        <f t="shared" si="28"/>
        <v>550</v>
      </c>
      <c r="G1936">
        <v>570</v>
      </c>
      <c r="H1936">
        <f t="shared" si="29"/>
        <v>580</v>
      </c>
    </row>
    <row r="1937" spans="1:8" x14ac:dyDescent="0.25">
      <c r="A1937" s="10">
        <v>2514</v>
      </c>
      <c r="B1937" t="s">
        <v>2152</v>
      </c>
      <c r="C1937" s="2" t="s">
        <v>391</v>
      </c>
      <c r="D1937" t="s">
        <v>2096</v>
      </c>
      <c r="E1937">
        <v>799.4</v>
      </c>
      <c r="F1937">
        <f t="shared" si="28"/>
        <v>870</v>
      </c>
      <c r="G1937">
        <v>890</v>
      </c>
      <c r="H1937">
        <f t="shared" si="29"/>
        <v>900</v>
      </c>
    </row>
    <row r="1938" spans="1:8" x14ac:dyDescent="0.25">
      <c r="A1938" s="10">
        <v>2515</v>
      </c>
      <c r="B1938" t="s">
        <v>2152</v>
      </c>
      <c r="C1938" s="2" t="s">
        <v>392</v>
      </c>
      <c r="D1938" t="s">
        <v>2096</v>
      </c>
      <c r="E1938">
        <v>1393.3</v>
      </c>
      <c r="F1938">
        <v>1450</v>
      </c>
      <c r="G1938">
        <v>1590</v>
      </c>
      <c r="H1938">
        <v>1680</v>
      </c>
    </row>
    <row r="1939" spans="1:8" x14ac:dyDescent="0.25">
      <c r="A1939" s="10">
        <v>2516</v>
      </c>
      <c r="B1939" t="s">
        <v>2152</v>
      </c>
      <c r="C1939" s="2" t="s">
        <v>393</v>
      </c>
      <c r="D1939" t="s">
        <v>2096</v>
      </c>
      <c r="E1939">
        <v>2130</v>
      </c>
      <c r="F1939">
        <v>2300</v>
      </c>
      <c r="G1939">
        <v>2650</v>
      </c>
      <c r="H1939">
        <v>2750</v>
      </c>
    </row>
    <row r="1940" spans="1:8" x14ac:dyDescent="0.25">
      <c r="A1940" s="10">
        <v>2517</v>
      </c>
      <c r="B1940" t="s">
        <v>2153</v>
      </c>
      <c r="C1940" s="2" t="s">
        <v>394</v>
      </c>
      <c r="D1940" t="s">
        <v>2096</v>
      </c>
      <c r="E1940">
        <v>24.34</v>
      </c>
      <c r="F1940">
        <f t="shared" si="28"/>
        <v>20</v>
      </c>
      <c r="G1940">
        <v>40</v>
      </c>
      <c r="H1940">
        <f t="shared" si="29"/>
        <v>50</v>
      </c>
    </row>
    <row r="1941" spans="1:8" x14ac:dyDescent="0.25">
      <c r="A1941" s="10">
        <v>2518</v>
      </c>
      <c r="B1941" t="s">
        <v>2153</v>
      </c>
      <c r="C1941" s="2" t="s">
        <v>395</v>
      </c>
      <c r="D1941" t="s">
        <v>2096</v>
      </c>
      <c r="E1941">
        <v>46.26</v>
      </c>
      <c r="F1941">
        <f t="shared" si="28"/>
        <v>50</v>
      </c>
      <c r="G1941">
        <v>70</v>
      </c>
      <c r="H1941">
        <f t="shared" si="29"/>
        <v>80</v>
      </c>
    </row>
    <row r="1942" spans="1:8" x14ac:dyDescent="0.25">
      <c r="A1942" s="10">
        <v>2519</v>
      </c>
      <c r="B1942" t="s">
        <v>2153</v>
      </c>
      <c r="C1942" s="2" t="s">
        <v>396</v>
      </c>
      <c r="D1942" t="s">
        <v>2096</v>
      </c>
      <c r="E1942">
        <v>46.36</v>
      </c>
      <c r="F1942">
        <f t="shared" si="28"/>
        <v>50</v>
      </c>
      <c r="G1942">
        <v>70</v>
      </c>
      <c r="H1942">
        <f t="shared" si="29"/>
        <v>80</v>
      </c>
    </row>
    <row r="1943" spans="1:8" x14ac:dyDescent="0.25">
      <c r="A1943" s="10">
        <v>2520</v>
      </c>
      <c r="B1943" t="s">
        <v>2153</v>
      </c>
      <c r="C1943" s="2" t="s">
        <v>397</v>
      </c>
      <c r="D1943" t="s">
        <v>2096</v>
      </c>
      <c r="E1943">
        <v>65.73</v>
      </c>
      <c r="F1943">
        <f t="shared" si="28"/>
        <v>80</v>
      </c>
      <c r="G1943">
        <v>100</v>
      </c>
      <c r="H1943">
        <f t="shared" si="29"/>
        <v>110</v>
      </c>
    </row>
    <row r="1944" spans="1:8" x14ac:dyDescent="0.25">
      <c r="A1944" s="10">
        <v>2521</v>
      </c>
      <c r="B1944" t="s">
        <v>2153</v>
      </c>
      <c r="C1944" s="2" t="s">
        <v>398</v>
      </c>
      <c r="D1944" t="s">
        <v>2096</v>
      </c>
      <c r="E1944">
        <v>95.48</v>
      </c>
      <c r="F1944">
        <f t="shared" si="28"/>
        <v>140</v>
      </c>
      <c r="G1944">
        <v>160</v>
      </c>
      <c r="H1944">
        <f t="shared" si="29"/>
        <v>170</v>
      </c>
    </row>
    <row r="1945" spans="1:8" x14ac:dyDescent="0.25">
      <c r="A1945" s="10">
        <v>2522</v>
      </c>
      <c r="B1945" t="s">
        <v>2153</v>
      </c>
      <c r="C1945" s="2" t="s">
        <v>399</v>
      </c>
      <c r="D1945" t="s">
        <v>2096</v>
      </c>
      <c r="E1945">
        <v>185.04</v>
      </c>
      <c r="F1945">
        <f t="shared" si="28"/>
        <v>270</v>
      </c>
      <c r="G1945">
        <v>290</v>
      </c>
      <c r="H1945">
        <f t="shared" si="29"/>
        <v>300</v>
      </c>
    </row>
    <row r="1946" spans="1:8" x14ac:dyDescent="0.25">
      <c r="A1946" s="10">
        <v>2523</v>
      </c>
      <c r="B1946" t="s">
        <v>2153</v>
      </c>
      <c r="C1946" s="2" t="s">
        <v>400</v>
      </c>
      <c r="D1946" t="s">
        <v>2096</v>
      </c>
      <c r="E1946">
        <v>420</v>
      </c>
      <c r="F1946">
        <f t="shared" si="28"/>
        <v>630</v>
      </c>
      <c r="G1946">
        <v>650</v>
      </c>
      <c r="H1946">
        <f t="shared" si="29"/>
        <v>660</v>
      </c>
    </row>
    <row r="1947" spans="1:8" x14ac:dyDescent="0.25">
      <c r="A1947" s="10">
        <v>2524</v>
      </c>
      <c r="B1947" t="s">
        <v>2153</v>
      </c>
      <c r="C1947" s="2" t="s">
        <v>401</v>
      </c>
      <c r="D1947" t="s">
        <v>2096</v>
      </c>
      <c r="E1947">
        <v>751.1</v>
      </c>
      <c r="F1947">
        <f t="shared" si="28"/>
        <v>930</v>
      </c>
      <c r="G1947">
        <v>950</v>
      </c>
      <c r="H1947">
        <f t="shared" si="29"/>
        <v>960</v>
      </c>
    </row>
    <row r="1948" spans="1:8" x14ac:dyDescent="0.25">
      <c r="A1948" s="10">
        <v>2525</v>
      </c>
      <c r="B1948" t="s">
        <v>2153</v>
      </c>
      <c r="C1948" s="2" t="s">
        <v>402</v>
      </c>
      <c r="D1948" t="s">
        <v>2096</v>
      </c>
      <c r="E1948">
        <v>905.8</v>
      </c>
      <c r="F1948">
        <v>1050</v>
      </c>
      <c r="G1948">
        <v>1150</v>
      </c>
      <c r="H1948">
        <v>1230</v>
      </c>
    </row>
    <row r="1949" spans="1:8" x14ac:dyDescent="0.25">
      <c r="A1949" s="10">
        <v>2526</v>
      </c>
      <c r="B1949" t="s">
        <v>2151</v>
      </c>
      <c r="C1949" s="2" t="s">
        <v>404</v>
      </c>
      <c r="D1949" t="s">
        <v>2096</v>
      </c>
    </row>
    <row r="1950" spans="1:8" x14ac:dyDescent="0.25">
      <c r="A1950" s="10">
        <v>2527</v>
      </c>
      <c r="B1950" t="s">
        <v>2151</v>
      </c>
      <c r="C1950" s="2" t="s">
        <v>405</v>
      </c>
      <c r="D1950" t="s">
        <v>2096</v>
      </c>
    </row>
    <row r="1951" spans="1:8" x14ac:dyDescent="0.25">
      <c r="A1951" s="10">
        <v>2528</v>
      </c>
      <c r="B1951" t="s">
        <v>2151</v>
      </c>
      <c r="C1951" s="2" t="s">
        <v>406</v>
      </c>
      <c r="D1951" t="s">
        <v>2096</v>
      </c>
    </row>
    <row r="1952" spans="1:8" x14ac:dyDescent="0.25">
      <c r="A1952" s="10">
        <v>2529</v>
      </c>
      <c r="B1952" t="s">
        <v>2151</v>
      </c>
      <c r="C1952" s="2" t="s">
        <v>407</v>
      </c>
      <c r="D1952" t="s">
        <v>2096</v>
      </c>
    </row>
    <row r="1953" spans="1:8" x14ac:dyDescent="0.25">
      <c r="A1953" s="10">
        <v>2530</v>
      </c>
      <c r="B1953" t="s">
        <v>2151</v>
      </c>
      <c r="C1953" s="2" t="s">
        <v>408</v>
      </c>
      <c r="D1953" t="s">
        <v>2096</v>
      </c>
    </row>
    <row r="1954" spans="1:8" x14ac:dyDescent="0.25">
      <c r="A1954" s="10">
        <v>2531</v>
      </c>
      <c r="B1954" t="s">
        <v>2151</v>
      </c>
      <c r="C1954" s="2" t="s">
        <v>409</v>
      </c>
      <c r="D1954" t="s">
        <v>2096</v>
      </c>
    </row>
    <row r="1955" spans="1:8" x14ac:dyDescent="0.25">
      <c r="C1955" s="2"/>
      <c r="D1955"/>
    </row>
    <row r="1956" spans="1:8" x14ac:dyDescent="0.25">
      <c r="A1956" s="10">
        <v>2532</v>
      </c>
      <c r="B1956" t="s">
        <v>2154</v>
      </c>
      <c r="C1956" s="2" t="s">
        <v>2156</v>
      </c>
      <c r="D1956" t="s">
        <v>2096</v>
      </c>
      <c r="E1956">
        <v>36.520000000000003</v>
      </c>
      <c r="F1956">
        <f>SUM(E1956+5)</f>
        <v>41.52</v>
      </c>
      <c r="G1956">
        <v>60</v>
      </c>
      <c r="H1956">
        <f>SUM(G1956+15)</f>
        <v>75</v>
      </c>
    </row>
    <row r="1957" spans="1:8" x14ac:dyDescent="0.25">
      <c r="A1957" s="10">
        <v>2533</v>
      </c>
      <c r="B1957" t="s">
        <v>2154</v>
      </c>
      <c r="C1957" s="2" t="s">
        <v>2157</v>
      </c>
      <c r="D1957" t="s">
        <v>2096</v>
      </c>
      <c r="E1957">
        <v>44.53</v>
      </c>
      <c r="F1957">
        <f t="shared" ref="F1957:F1970" si="30">SUM(E1957+5)</f>
        <v>49.53</v>
      </c>
      <c r="G1957">
        <v>80</v>
      </c>
      <c r="H1957">
        <f t="shared" ref="H1957:H1970" si="31">SUM(G1957+15)</f>
        <v>95</v>
      </c>
    </row>
    <row r="1958" spans="1:8" x14ac:dyDescent="0.25">
      <c r="A1958" s="10">
        <v>2534</v>
      </c>
      <c r="B1958" t="s">
        <v>2154</v>
      </c>
      <c r="C1958" s="2" t="s">
        <v>2158</v>
      </c>
      <c r="D1958" t="s">
        <v>2096</v>
      </c>
      <c r="E1958">
        <v>68.78</v>
      </c>
      <c r="F1958">
        <f t="shared" si="30"/>
        <v>73.78</v>
      </c>
      <c r="G1958">
        <v>90</v>
      </c>
      <c r="H1958">
        <f t="shared" si="31"/>
        <v>105</v>
      </c>
    </row>
    <row r="1959" spans="1:8" x14ac:dyDescent="0.25">
      <c r="A1959" s="10">
        <v>2535</v>
      </c>
      <c r="B1959" t="s">
        <v>2154</v>
      </c>
      <c r="C1959" s="2" t="s">
        <v>2159</v>
      </c>
      <c r="D1959" t="s">
        <v>2096</v>
      </c>
      <c r="E1959">
        <v>82.17</v>
      </c>
      <c r="F1959">
        <f t="shared" si="30"/>
        <v>87.17</v>
      </c>
      <c r="G1959">
        <v>120</v>
      </c>
      <c r="H1959">
        <f t="shared" si="31"/>
        <v>135</v>
      </c>
    </row>
    <row r="1960" spans="1:8" x14ac:dyDescent="0.25">
      <c r="A1960" s="10">
        <v>2536</v>
      </c>
      <c r="B1960" t="s">
        <v>2154</v>
      </c>
      <c r="C1960" s="2" t="s">
        <v>2160</v>
      </c>
      <c r="D1960" t="s">
        <v>2096</v>
      </c>
      <c r="E1960">
        <v>97.32</v>
      </c>
      <c r="F1960">
        <f t="shared" si="30"/>
        <v>102.32</v>
      </c>
      <c r="G1960">
        <v>140</v>
      </c>
      <c r="H1960">
        <f t="shared" si="31"/>
        <v>155</v>
      </c>
    </row>
    <row r="1961" spans="1:8" x14ac:dyDescent="0.25">
      <c r="A1961" s="10">
        <v>2537</v>
      </c>
      <c r="B1961" t="s">
        <v>2154</v>
      </c>
      <c r="C1961" s="2" t="s">
        <v>2161</v>
      </c>
      <c r="D1961" t="s">
        <v>2096</v>
      </c>
      <c r="E1961">
        <v>112.6</v>
      </c>
      <c r="F1961">
        <f t="shared" si="30"/>
        <v>117.6</v>
      </c>
      <c r="G1961">
        <v>160</v>
      </c>
      <c r="H1961">
        <f t="shared" si="31"/>
        <v>175</v>
      </c>
    </row>
    <row r="1962" spans="1:8" x14ac:dyDescent="0.25">
      <c r="A1962" s="10">
        <v>2538</v>
      </c>
      <c r="B1962" t="s">
        <v>2154</v>
      </c>
      <c r="C1962" s="2" t="s">
        <v>2162</v>
      </c>
      <c r="D1962" t="s">
        <v>2096</v>
      </c>
      <c r="E1962">
        <v>103.04</v>
      </c>
      <c r="F1962">
        <f t="shared" si="30"/>
        <v>108.04</v>
      </c>
      <c r="G1962">
        <v>180</v>
      </c>
      <c r="H1962">
        <f t="shared" si="31"/>
        <v>195</v>
      </c>
    </row>
    <row r="1963" spans="1:8" x14ac:dyDescent="0.25">
      <c r="A1963" s="10">
        <v>2539</v>
      </c>
      <c r="B1963" t="s">
        <v>2154</v>
      </c>
      <c r="C1963" s="2" t="s">
        <v>2163</v>
      </c>
      <c r="D1963" t="s">
        <v>2096</v>
      </c>
      <c r="E1963">
        <v>136.94999999999999</v>
      </c>
      <c r="F1963">
        <f t="shared" si="30"/>
        <v>141.94999999999999</v>
      </c>
      <c r="G1963">
        <v>190</v>
      </c>
      <c r="H1963">
        <f t="shared" si="31"/>
        <v>205</v>
      </c>
    </row>
    <row r="1964" spans="1:8" x14ac:dyDescent="0.25">
      <c r="A1964" s="10">
        <v>2540</v>
      </c>
      <c r="B1964" t="s">
        <v>2154</v>
      </c>
      <c r="C1964" s="2" t="s">
        <v>2164</v>
      </c>
      <c r="D1964" t="s">
        <v>2096</v>
      </c>
      <c r="E1964">
        <v>113.4</v>
      </c>
      <c r="F1964">
        <f t="shared" si="30"/>
        <v>118.4</v>
      </c>
      <c r="G1964">
        <v>190</v>
      </c>
      <c r="H1964">
        <f t="shared" si="31"/>
        <v>205</v>
      </c>
    </row>
    <row r="1965" spans="1:8" x14ac:dyDescent="0.25">
      <c r="A1965" s="10">
        <v>2541</v>
      </c>
      <c r="B1965" t="s">
        <v>2154</v>
      </c>
      <c r="C1965" s="2" t="s">
        <v>2165</v>
      </c>
      <c r="D1965" t="s">
        <v>2096</v>
      </c>
      <c r="E1965">
        <v>167.39</v>
      </c>
      <c r="F1965">
        <f t="shared" si="30"/>
        <v>172.39</v>
      </c>
      <c r="G1965">
        <v>220</v>
      </c>
      <c r="H1965">
        <f t="shared" si="31"/>
        <v>235</v>
      </c>
    </row>
    <row r="1966" spans="1:8" x14ac:dyDescent="0.25">
      <c r="A1966" s="10">
        <v>2542</v>
      </c>
      <c r="B1966" t="s">
        <v>2154</v>
      </c>
      <c r="C1966" s="2" t="s">
        <v>2166</v>
      </c>
      <c r="D1966" t="s">
        <v>2096</v>
      </c>
      <c r="E1966">
        <v>170.43</v>
      </c>
      <c r="F1966">
        <f t="shared" si="30"/>
        <v>175.43</v>
      </c>
      <c r="G1966">
        <v>240</v>
      </c>
      <c r="H1966">
        <f t="shared" si="31"/>
        <v>255</v>
      </c>
    </row>
    <row r="1967" spans="1:8" x14ac:dyDescent="0.25">
      <c r="A1967" s="10">
        <v>2543</v>
      </c>
      <c r="B1967" t="s">
        <v>2154</v>
      </c>
      <c r="C1967" s="2" t="s">
        <v>2167</v>
      </c>
      <c r="D1967" t="s">
        <v>2096</v>
      </c>
      <c r="E1967">
        <v>210</v>
      </c>
      <c r="F1967">
        <f t="shared" si="30"/>
        <v>215</v>
      </c>
      <c r="G1967">
        <v>260</v>
      </c>
      <c r="H1967">
        <f t="shared" si="31"/>
        <v>275</v>
      </c>
    </row>
    <row r="1968" spans="1:8" x14ac:dyDescent="0.25">
      <c r="A1968" s="10">
        <v>2544</v>
      </c>
      <c r="B1968" t="s">
        <v>2154</v>
      </c>
      <c r="C1968" s="2" t="s">
        <v>2168</v>
      </c>
      <c r="D1968" t="s">
        <v>2096</v>
      </c>
      <c r="E1968">
        <v>225.21</v>
      </c>
      <c r="F1968">
        <f t="shared" si="30"/>
        <v>230.21</v>
      </c>
      <c r="G1968">
        <v>280</v>
      </c>
      <c r="H1968">
        <f t="shared" si="31"/>
        <v>295</v>
      </c>
    </row>
    <row r="1969" spans="1:8" x14ac:dyDescent="0.25">
      <c r="A1969" s="10">
        <v>2545</v>
      </c>
      <c r="B1969" t="s">
        <v>2154</v>
      </c>
      <c r="C1969" s="2" t="s">
        <v>2169</v>
      </c>
      <c r="D1969" t="s">
        <v>2096</v>
      </c>
      <c r="E1969">
        <v>228.26</v>
      </c>
      <c r="F1969">
        <f t="shared" si="30"/>
        <v>233.26</v>
      </c>
      <c r="G1969">
        <v>290</v>
      </c>
      <c r="H1969">
        <f t="shared" si="31"/>
        <v>305</v>
      </c>
    </row>
    <row r="1970" spans="1:8" x14ac:dyDescent="0.25">
      <c r="A1970" s="10">
        <v>2546</v>
      </c>
      <c r="B1970" t="s">
        <v>2154</v>
      </c>
      <c r="C1970" s="2" t="s">
        <v>2170</v>
      </c>
      <c r="D1970" t="s">
        <v>2096</v>
      </c>
      <c r="E1970">
        <v>234.34</v>
      </c>
      <c r="F1970">
        <f t="shared" si="30"/>
        <v>239.34</v>
      </c>
      <c r="G1970">
        <v>290</v>
      </c>
      <c r="H1970">
        <f t="shared" si="31"/>
        <v>305</v>
      </c>
    </row>
    <row r="1971" spans="1:8" x14ac:dyDescent="0.25">
      <c r="A1971" s="10">
        <v>2547</v>
      </c>
      <c r="B1971" t="s">
        <v>2154</v>
      </c>
      <c r="C1971" s="2" t="s">
        <v>2171</v>
      </c>
      <c r="D1971" t="s">
        <v>2096</v>
      </c>
    </row>
    <row r="1972" spans="1:8" x14ac:dyDescent="0.25">
      <c r="A1972" s="10">
        <v>2548</v>
      </c>
      <c r="B1972" t="s">
        <v>2154</v>
      </c>
      <c r="C1972" s="2" t="s">
        <v>2172</v>
      </c>
      <c r="D1972" t="s">
        <v>2096</v>
      </c>
    </row>
    <row r="1973" spans="1:8" x14ac:dyDescent="0.25">
      <c r="A1973" s="10">
        <v>2549</v>
      </c>
      <c r="B1973" t="s">
        <v>2154</v>
      </c>
      <c r="C1973" s="2" t="s">
        <v>2173</v>
      </c>
      <c r="D1973" t="s">
        <v>2096</v>
      </c>
    </row>
    <row r="1974" spans="1:8" x14ac:dyDescent="0.25">
      <c r="A1974" s="10">
        <v>2550</v>
      </c>
      <c r="B1974" t="s">
        <v>2154</v>
      </c>
      <c r="C1974" s="2" t="s">
        <v>2174</v>
      </c>
      <c r="D1974" t="s">
        <v>2096</v>
      </c>
    </row>
    <row r="1975" spans="1:8" x14ac:dyDescent="0.25">
      <c r="A1975" s="10">
        <v>2551</v>
      </c>
      <c r="B1975" t="s">
        <v>2154</v>
      </c>
      <c r="C1975" s="2" t="s">
        <v>2175</v>
      </c>
      <c r="D1975" t="s">
        <v>2096</v>
      </c>
    </row>
    <row r="1976" spans="1:8" x14ac:dyDescent="0.25">
      <c r="A1976" s="10">
        <v>2552</v>
      </c>
      <c r="B1976" t="s">
        <v>2154</v>
      </c>
      <c r="C1976" s="2" t="s">
        <v>2176</v>
      </c>
      <c r="D1976" t="s">
        <v>2096</v>
      </c>
    </row>
    <row r="1977" spans="1:8" x14ac:dyDescent="0.25">
      <c r="A1977" s="10">
        <v>2553</v>
      </c>
      <c r="B1977" t="s">
        <v>2154</v>
      </c>
      <c r="C1977" s="2" t="s">
        <v>2177</v>
      </c>
      <c r="D1977" t="s">
        <v>2096</v>
      </c>
    </row>
    <row r="1978" spans="1:8" x14ac:dyDescent="0.25">
      <c r="A1978" s="10">
        <v>2554</v>
      </c>
      <c r="B1978" t="s">
        <v>2154</v>
      </c>
      <c r="C1978" s="2" t="s">
        <v>2178</v>
      </c>
      <c r="D1978" t="s">
        <v>2096</v>
      </c>
    </row>
    <row r="1979" spans="1:8" x14ac:dyDescent="0.25">
      <c r="A1979" s="10">
        <v>2555</v>
      </c>
      <c r="B1979" t="s">
        <v>2154</v>
      </c>
      <c r="C1979" s="2" t="s">
        <v>2179</v>
      </c>
      <c r="D1979" t="s">
        <v>2096</v>
      </c>
    </row>
    <row r="1980" spans="1:8" x14ac:dyDescent="0.25">
      <c r="A1980" s="10">
        <v>2556</v>
      </c>
      <c r="B1980" t="s">
        <v>2154</v>
      </c>
      <c r="C1980" s="2" t="s">
        <v>2180</v>
      </c>
      <c r="D1980" t="s">
        <v>2096</v>
      </c>
    </row>
    <row r="1981" spans="1:8" x14ac:dyDescent="0.25">
      <c r="A1981" s="10">
        <v>2557</v>
      </c>
      <c r="B1981" t="s">
        <v>2154</v>
      </c>
      <c r="C1981" s="2" t="s">
        <v>2181</v>
      </c>
      <c r="D1981" t="s">
        <v>2096</v>
      </c>
    </row>
    <row r="1982" spans="1:8" x14ac:dyDescent="0.25">
      <c r="A1982" s="10">
        <v>2558</v>
      </c>
      <c r="B1982" t="s">
        <v>2154</v>
      </c>
      <c r="C1982" s="2" t="s">
        <v>2182</v>
      </c>
      <c r="D1982" t="s">
        <v>2096</v>
      </c>
    </row>
    <row r="1983" spans="1:8" x14ac:dyDescent="0.25">
      <c r="C1983"/>
      <c r="D1983"/>
    </row>
    <row r="1984" spans="1:8" x14ac:dyDescent="0.25">
      <c r="A1984" s="10">
        <v>2559</v>
      </c>
      <c r="B1984" t="s">
        <v>2155</v>
      </c>
      <c r="C1984" s="2" t="s">
        <v>2183</v>
      </c>
      <c r="D1984" t="s">
        <v>2096</v>
      </c>
      <c r="E1984">
        <v>62.14</v>
      </c>
      <c r="F1984">
        <f>SUM(E1984+5)</f>
        <v>67.14</v>
      </c>
      <c r="G1984">
        <v>90</v>
      </c>
      <c r="H1984">
        <f>SUM(G1984+15)</f>
        <v>105</v>
      </c>
    </row>
    <row r="1985" spans="1:8" x14ac:dyDescent="0.25">
      <c r="A1985" s="10">
        <v>2560</v>
      </c>
      <c r="B1985" t="s">
        <v>2155</v>
      </c>
      <c r="C1985" s="2" t="s">
        <v>2184</v>
      </c>
      <c r="D1985" t="s">
        <v>2096</v>
      </c>
      <c r="E1985">
        <v>72</v>
      </c>
      <c r="F1985">
        <f t="shared" ref="F1985:F1998" si="32">SUM(E1985+5)</f>
        <v>77</v>
      </c>
      <c r="G1985">
        <v>100</v>
      </c>
      <c r="H1985">
        <f t="shared" ref="H1985:H1998" si="33">SUM(G1985+15)</f>
        <v>115</v>
      </c>
    </row>
    <row r="1986" spans="1:8" x14ac:dyDescent="0.25">
      <c r="A1986" s="10">
        <v>2561</v>
      </c>
      <c r="B1986" t="s">
        <v>2155</v>
      </c>
      <c r="C1986" s="2" t="s">
        <v>2185</v>
      </c>
      <c r="D1986" t="s">
        <v>2096</v>
      </c>
      <c r="E1986">
        <v>106.52</v>
      </c>
      <c r="F1986">
        <f t="shared" si="32"/>
        <v>111.52</v>
      </c>
      <c r="G1986">
        <v>120</v>
      </c>
      <c r="H1986">
        <f t="shared" si="33"/>
        <v>135</v>
      </c>
    </row>
    <row r="1987" spans="1:8" x14ac:dyDescent="0.25">
      <c r="A1987" s="10">
        <v>2562</v>
      </c>
      <c r="B1987" t="s">
        <v>2155</v>
      </c>
      <c r="C1987" s="2" t="s">
        <v>2186</v>
      </c>
      <c r="D1987" t="s">
        <v>2096</v>
      </c>
      <c r="E1987">
        <v>149.13</v>
      </c>
      <c r="F1987">
        <f t="shared" si="32"/>
        <v>154.13</v>
      </c>
      <c r="G1987">
        <v>180</v>
      </c>
      <c r="H1987">
        <f t="shared" si="33"/>
        <v>195</v>
      </c>
    </row>
    <row r="1988" spans="1:8" x14ac:dyDescent="0.25">
      <c r="A1988" s="10">
        <v>2563</v>
      </c>
      <c r="B1988" t="s">
        <v>2155</v>
      </c>
      <c r="C1988" s="2" t="s">
        <v>2187</v>
      </c>
      <c r="D1988" t="s">
        <v>2096</v>
      </c>
      <c r="E1988">
        <v>173.17</v>
      </c>
      <c r="F1988">
        <f t="shared" si="32"/>
        <v>178.17</v>
      </c>
      <c r="G1988">
        <v>200</v>
      </c>
      <c r="H1988">
        <f t="shared" si="33"/>
        <v>215</v>
      </c>
    </row>
    <row r="1989" spans="1:8" x14ac:dyDescent="0.25">
      <c r="A1989" s="10">
        <v>2564</v>
      </c>
      <c r="B1989" t="s">
        <v>2155</v>
      </c>
      <c r="C1989" s="2" t="s">
        <v>2188</v>
      </c>
      <c r="D1989" t="s">
        <v>2096</v>
      </c>
      <c r="E1989">
        <v>179.56</v>
      </c>
      <c r="F1989">
        <f t="shared" si="32"/>
        <v>184.56</v>
      </c>
      <c r="G1989">
        <v>230</v>
      </c>
      <c r="H1989">
        <f t="shared" si="33"/>
        <v>245</v>
      </c>
    </row>
    <row r="1990" spans="1:8" x14ac:dyDescent="0.25">
      <c r="A1990" s="10">
        <v>2565</v>
      </c>
      <c r="B1990" t="s">
        <v>2155</v>
      </c>
      <c r="C1990" s="2" t="s">
        <v>2189</v>
      </c>
      <c r="D1990" t="s">
        <v>2096</v>
      </c>
      <c r="E1990">
        <v>155.62</v>
      </c>
      <c r="F1990">
        <f t="shared" si="32"/>
        <v>160.62</v>
      </c>
      <c r="G1990">
        <v>250</v>
      </c>
      <c r="H1990">
        <f t="shared" si="33"/>
        <v>265</v>
      </c>
    </row>
    <row r="1991" spans="1:8" x14ac:dyDescent="0.25">
      <c r="A1991" s="10">
        <v>2566</v>
      </c>
      <c r="B1991" t="s">
        <v>2155</v>
      </c>
      <c r="C1991" s="2" t="s">
        <v>2190</v>
      </c>
      <c r="D1991" t="s">
        <v>2096</v>
      </c>
      <c r="E1991">
        <v>240.43</v>
      </c>
      <c r="F1991">
        <f t="shared" si="32"/>
        <v>245.43</v>
      </c>
      <c r="G1991">
        <v>280</v>
      </c>
      <c r="H1991">
        <f t="shared" si="33"/>
        <v>295</v>
      </c>
    </row>
    <row r="1992" spans="1:8" x14ac:dyDescent="0.25">
      <c r="A1992" s="10">
        <v>2567</v>
      </c>
      <c r="B1992" t="s">
        <v>2155</v>
      </c>
      <c r="C1992" s="2" t="s">
        <v>2191</v>
      </c>
      <c r="D1992" t="s">
        <v>2096</v>
      </c>
      <c r="E1992">
        <v>224</v>
      </c>
      <c r="F1992">
        <f t="shared" si="32"/>
        <v>229</v>
      </c>
      <c r="G1992">
        <v>280</v>
      </c>
      <c r="H1992">
        <f t="shared" si="33"/>
        <v>295</v>
      </c>
    </row>
    <row r="1993" spans="1:8" x14ac:dyDescent="0.25">
      <c r="A1993" s="10">
        <v>2568</v>
      </c>
      <c r="B1993" t="s">
        <v>2155</v>
      </c>
      <c r="C1993" s="2" t="s">
        <v>2192</v>
      </c>
      <c r="D1993" t="s">
        <v>2096</v>
      </c>
      <c r="E1993">
        <v>283.08999999999997</v>
      </c>
      <c r="F1993">
        <f t="shared" si="32"/>
        <v>288.08999999999997</v>
      </c>
      <c r="G1993">
        <v>320</v>
      </c>
      <c r="H1993">
        <f t="shared" si="33"/>
        <v>335</v>
      </c>
    </row>
    <row r="1994" spans="1:8" x14ac:dyDescent="0.25">
      <c r="A1994" s="10">
        <v>2569</v>
      </c>
      <c r="B1994" t="s">
        <v>2155</v>
      </c>
      <c r="C1994" s="2" t="s">
        <v>2193</v>
      </c>
      <c r="D1994" t="s">
        <v>2096</v>
      </c>
      <c r="E1994">
        <v>453.47</v>
      </c>
      <c r="F1994">
        <f t="shared" si="32"/>
        <v>458.47</v>
      </c>
      <c r="G1994">
        <v>490</v>
      </c>
      <c r="H1994">
        <f t="shared" si="33"/>
        <v>505</v>
      </c>
    </row>
    <row r="1995" spans="1:8" x14ac:dyDescent="0.25">
      <c r="A1995" s="10">
        <v>2570</v>
      </c>
      <c r="B1995" t="s">
        <v>2155</v>
      </c>
      <c r="C1995" s="2" t="s">
        <v>2194</v>
      </c>
      <c r="D1995" t="s">
        <v>2096</v>
      </c>
      <c r="E1995">
        <v>380.43</v>
      </c>
      <c r="F1995">
        <f t="shared" si="32"/>
        <v>385.43</v>
      </c>
      <c r="G1995">
        <v>450</v>
      </c>
      <c r="H1995">
        <f t="shared" si="33"/>
        <v>465</v>
      </c>
    </row>
    <row r="1996" spans="1:8" x14ac:dyDescent="0.25">
      <c r="A1996" s="10">
        <v>2571</v>
      </c>
      <c r="B1996" t="s">
        <v>2155</v>
      </c>
      <c r="C1996" s="2" t="s">
        <v>2195</v>
      </c>
      <c r="D1996" t="s">
        <v>2096</v>
      </c>
      <c r="E1996">
        <v>462.6</v>
      </c>
      <c r="F1996">
        <f t="shared" si="32"/>
        <v>467.6</v>
      </c>
      <c r="G1996">
        <v>490</v>
      </c>
      <c r="H1996">
        <f t="shared" si="33"/>
        <v>505</v>
      </c>
    </row>
    <row r="1997" spans="1:8" x14ac:dyDescent="0.25">
      <c r="A1997" s="10">
        <v>2572</v>
      </c>
      <c r="B1997" t="s">
        <v>2155</v>
      </c>
      <c r="C1997" s="2" t="s">
        <v>2196</v>
      </c>
      <c r="D1997" t="s">
        <v>2096</v>
      </c>
      <c r="E1997">
        <v>468.63</v>
      </c>
      <c r="F1997">
        <f t="shared" si="32"/>
        <v>473.63</v>
      </c>
      <c r="G1997">
        <v>490</v>
      </c>
      <c r="H1997">
        <f t="shared" si="33"/>
        <v>505</v>
      </c>
    </row>
    <row r="1998" spans="1:8" x14ac:dyDescent="0.25">
      <c r="A1998" s="10">
        <v>2573</v>
      </c>
      <c r="B1998" t="s">
        <v>2155</v>
      </c>
      <c r="C1998" s="2" t="s">
        <v>2197</v>
      </c>
      <c r="D1998" t="s">
        <v>2096</v>
      </c>
      <c r="E1998">
        <v>471.73</v>
      </c>
      <c r="F1998">
        <f t="shared" si="32"/>
        <v>476.73</v>
      </c>
      <c r="G1998">
        <v>490</v>
      </c>
      <c r="H1998">
        <f t="shared" si="33"/>
        <v>505</v>
      </c>
    </row>
    <row r="1999" spans="1:8" x14ac:dyDescent="0.25">
      <c r="A1999" s="10">
        <v>2574</v>
      </c>
      <c r="B1999" t="s">
        <v>2155</v>
      </c>
      <c r="C1999" s="2" t="s">
        <v>2198</v>
      </c>
      <c r="D1999" t="s">
        <v>2096</v>
      </c>
    </row>
    <row r="2000" spans="1:8" x14ac:dyDescent="0.25">
      <c r="A2000" s="10">
        <v>2575</v>
      </c>
      <c r="B2000" t="s">
        <v>2155</v>
      </c>
      <c r="C2000" s="2" t="s">
        <v>2199</v>
      </c>
      <c r="D2000" t="s">
        <v>2096</v>
      </c>
    </row>
    <row r="2001" spans="1:8" x14ac:dyDescent="0.25">
      <c r="A2001" s="10">
        <v>2576</v>
      </c>
      <c r="B2001" t="s">
        <v>2155</v>
      </c>
      <c r="C2001" s="2" t="s">
        <v>2200</v>
      </c>
      <c r="D2001" t="s">
        <v>2096</v>
      </c>
    </row>
    <row r="2002" spans="1:8" x14ac:dyDescent="0.25">
      <c r="A2002" s="10">
        <v>2577</v>
      </c>
      <c r="B2002" t="s">
        <v>2155</v>
      </c>
      <c r="C2002" s="2" t="s">
        <v>2201</v>
      </c>
      <c r="D2002" t="s">
        <v>2096</v>
      </c>
    </row>
    <row r="2003" spans="1:8" x14ac:dyDescent="0.25">
      <c r="A2003" s="10">
        <v>2578</v>
      </c>
      <c r="B2003" t="s">
        <v>2155</v>
      </c>
      <c r="C2003" s="2" t="s">
        <v>2202</v>
      </c>
      <c r="D2003" t="s">
        <v>2096</v>
      </c>
    </row>
    <row r="2004" spans="1:8" x14ac:dyDescent="0.25">
      <c r="A2004" s="10">
        <v>2579</v>
      </c>
      <c r="B2004" t="s">
        <v>2155</v>
      </c>
      <c r="C2004" s="2" t="s">
        <v>2203</v>
      </c>
      <c r="D2004" t="s">
        <v>2096</v>
      </c>
    </row>
    <row r="2005" spans="1:8" x14ac:dyDescent="0.25">
      <c r="A2005" s="10">
        <v>2580</v>
      </c>
      <c r="B2005" t="s">
        <v>2155</v>
      </c>
      <c r="C2005" s="2" t="s">
        <v>2204</v>
      </c>
      <c r="D2005" t="s">
        <v>2096</v>
      </c>
    </row>
    <row r="2006" spans="1:8" x14ac:dyDescent="0.25">
      <c r="A2006" s="10">
        <v>2581</v>
      </c>
      <c r="B2006" t="s">
        <v>2155</v>
      </c>
      <c r="C2006" s="2" t="s">
        <v>2205</v>
      </c>
      <c r="D2006" t="s">
        <v>2096</v>
      </c>
    </row>
    <row r="2007" spans="1:8" x14ac:dyDescent="0.25">
      <c r="A2007" s="10">
        <v>2582</v>
      </c>
      <c r="B2007" t="s">
        <v>2155</v>
      </c>
      <c r="C2007" s="2" t="s">
        <v>2206</v>
      </c>
      <c r="D2007" t="s">
        <v>2096</v>
      </c>
    </row>
    <row r="2008" spans="1:8" x14ac:dyDescent="0.25">
      <c r="A2008" s="10">
        <v>2583</v>
      </c>
      <c r="B2008" t="s">
        <v>2155</v>
      </c>
      <c r="C2008" s="2" t="s">
        <v>2207</v>
      </c>
      <c r="D2008" t="s">
        <v>2096</v>
      </c>
    </row>
    <row r="2009" spans="1:8" x14ac:dyDescent="0.25">
      <c r="A2009" s="10">
        <v>2584</v>
      </c>
      <c r="B2009" t="s">
        <v>2155</v>
      </c>
      <c r="C2009" s="2" t="s">
        <v>2208</v>
      </c>
      <c r="D2009" t="s">
        <v>2096</v>
      </c>
    </row>
    <row r="2011" spans="1:8" x14ac:dyDescent="0.25">
      <c r="A2011" s="10">
        <v>2585</v>
      </c>
      <c r="B2011" t="s">
        <v>4302</v>
      </c>
      <c r="C2011" s="2" t="s">
        <v>470</v>
      </c>
      <c r="D2011" s="1" t="s">
        <v>2095</v>
      </c>
      <c r="E2011">
        <v>15.3</v>
      </c>
      <c r="F2011">
        <v>20</v>
      </c>
      <c r="G2011">
        <v>40</v>
      </c>
      <c r="H2011">
        <v>60</v>
      </c>
    </row>
    <row r="2012" spans="1:8" x14ac:dyDescent="0.25">
      <c r="A2012" s="10">
        <v>2586</v>
      </c>
      <c r="B2012" t="s">
        <v>4303</v>
      </c>
      <c r="C2012" s="2" t="s">
        <v>471</v>
      </c>
      <c r="D2012" s="1" t="s">
        <v>2095</v>
      </c>
    </row>
    <row r="2013" spans="1:8" x14ac:dyDescent="0.25">
      <c r="A2013" s="10">
        <v>2587</v>
      </c>
      <c r="B2013" t="s">
        <v>2093</v>
      </c>
      <c r="C2013" s="2" t="s">
        <v>472</v>
      </c>
      <c r="D2013" s="1" t="s">
        <v>2095</v>
      </c>
      <c r="E2013">
        <v>30</v>
      </c>
      <c r="F2013">
        <v>40</v>
      </c>
      <c r="G2013">
        <v>60</v>
      </c>
      <c r="H2013">
        <v>95</v>
      </c>
    </row>
    <row r="2014" spans="1:8" x14ac:dyDescent="0.25">
      <c r="A2014" s="10">
        <v>2588</v>
      </c>
      <c r="B2014" t="s">
        <v>2093</v>
      </c>
      <c r="C2014" s="2" t="s">
        <v>473</v>
      </c>
      <c r="D2014" s="1" t="s">
        <v>2095</v>
      </c>
    </row>
    <row r="2015" spans="1:8" x14ac:dyDescent="0.25">
      <c r="A2015" s="10">
        <v>2589</v>
      </c>
      <c r="B2015" t="s">
        <v>2093</v>
      </c>
      <c r="C2015" s="2" t="s">
        <v>474</v>
      </c>
      <c r="D2015" s="1" t="s">
        <v>2095</v>
      </c>
      <c r="E2015">
        <v>72</v>
      </c>
      <c r="F2015">
        <v>90</v>
      </c>
      <c r="G2015">
        <v>140</v>
      </c>
      <c r="H2015">
        <v>155</v>
      </c>
    </row>
    <row r="2016" spans="1:8" x14ac:dyDescent="0.25">
      <c r="A2016" s="10">
        <v>2590</v>
      </c>
      <c r="B2016" t="s">
        <v>2093</v>
      </c>
      <c r="C2016" s="2" t="s">
        <v>475</v>
      </c>
      <c r="D2016" s="1" t="s">
        <v>2095</v>
      </c>
    </row>
    <row r="2017" spans="1:8" x14ac:dyDescent="0.25">
      <c r="A2017" s="10">
        <v>2591</v>
      </c>
      <c r="B2017" t="s">
        <v>2093</v>
      </c>
      <c r="C2017" s="2" t="s">
        <v>476</v>
      </c>
      <c r="D2017" s="1" t="s">
        <v>2095</v>
      </c>
    </row>
    <row r="2018" spans="1:8" x14ac:dyDescent="0.25">
      <c r="A2018" s="10">
        <v>2592</v>
      </c>
      <c r="B2018" t="s">
        <v>2093</v>
      </c>
      <c r="C2018" s="2" t="s">
        <v>477</v>
      </c>
      <c r="D2018" s="1" t="s">
        <v>2095</v>
      </c>
    </row>
    <row r="2019" spans="1:8" x14ac:dyDescent="0.25">
      <c r="A2019" s="10">
        <v>2593</v>
      </c>
      <c r="B2019" t="s">
        <v>2093</v>
      </c>
      <c r="C2019" s="2" t="s">
        <v>478</v>
      </c>
      <c r="D2019" s="1" t="s">
        <v>2095</v>
      </c>
    </row>
    <row r="2020" spans="1:8" x14ac:dyDescent="0.25">
      <c r="A2020" s="10">
        <v>2594</v>
      </c>
      <c r="B2020" t="s">
        <v>2149</v>
      </c>
      <c r="C2020" s="2" t="s">
        <v>479</v>
      </c>
      <c r="D2020" s="1" t="s">
        <v>2095</v>
      </c>
      <c r="E2020">
        <v>17</v>
      </c>
      <c r="F2020">
        <v>25</v>
      </c>
      <c r="G2020">
        <v>50</v>
      </c>
      <c r="H2020">
        <v>60</v>
      </c>
    </row>
    <row r="2021" spans="1:8" x14ac:dyDescent="0.25">
      <c r="A2021" s="10">
        <v>2595</v>
      </c>
      <c r="B2021" t="s">
        <v>2149</v>
      </c>
      <c r="C2021" s="2" t="s">
        <v>480</v>
      </c>
      <c r="D2021" s="1" t="s">
        <v>2095</v>
      </c>
    </row>
    <row r="2022" spans="1:8" x14ac:dyDescent="0.25">
      <c r="A2022" s="10">
        <v>2596</v>
      </c>
      <c r="B2022" t="s">
        <v>2149</v>
      </c>
      <c r="C2022" s="2" t="s">
        <v>481</v>
      </c>
      <c r="D2022" s="1" t="s">
        <v>2095</v>
      </c>
      <c r="E2022">
        <v>36</v>
      </c>
      <c r="F2022">
        <v>50</v>
      </c>
      <c r="G2022">
        <v>80</v>
      </c>
      <c r="H2022">
        <v>95</v>
      </c>
    </row>
    <row r="2023" spans="1:8" x14ac:dyDescent="0.25">
      <c r="A2023" s="10">
        <v>2597</v>
      </c>
      <c r="B2023" t="s">
        <v>2149</v>
      </c>
      <c r="C2023" s="2" t="s">
        <v>482</v>
      </c>
      <c r="D2023" s="1" t="s">
        <v>2095</v>
      </c>
    </row>
    <row r="2024" spans="1:8" x14ac:dyDescent="0.25">
      <c r="A2024" s="10">
        <v>2598</v>
      </c>
      <c r="B2024" t="s">
        <v>2149</v>
      </c>
      <c r="C2024" s="2" t="s">
        <v>483</v>
      </c>
      <c r="D2024" s="1" t="s">
        <v>2095</v>
      </c>
    </row>
    <row r="2025" spans="1:8" x14ac:dyDescent="0.25">
      <c r="A2025" s="10">
        <v>2599</v>
      </c>
      <c r="B2025" t="s">
        <v>2149</v>
      </c>
      <c r="C2025" s="2" t="s">
        <v>484</v>
      </c>
      <c r="D2025" s="1" t="s">
        <v>2095</v>
      </c>
    </row>
    <row r="2026" spans="1:8" x14ac:dyDescent="0.25">
      <c r="A2026" s="10">
        <v>2600</v>
      </c>
      <c r="B2026" t="s">
        <v>2149</v>
      </c>
      <c r="C2026" s="2" t="s">
        <v>485</v>
      </c>
      <c r="D2026" s="1" t="s">
        <v>2095</v>
      </c>
    </row>
    <row r="2027" spans="1:8" x14ac:dyDescent="0.25">
      <c r="A2027" s="10">
        <v>2601</v>
      </c>
      <c r="B2027" t="s">
        <v>2149</v>
      </c>
      <c r="C2027" s="2" t="s">
        <v>486</v>
      </c>
      <c r="D2027" s="1" t="s">
        <v>2095</v>
      </c>
    </row>
    <row r="2028" spans="1:8" x14ac:dyDescent="0.25">
      <c r="A2028" s="10">
        <v>2602</v>
      </c>
      <c r="B2028" t="s">
        <v>2149</v>
      </c>
      <c r="C2028" s="2" t="s">
        <v>487</v>
      </c>
      <c r="D2028" s="1" t="s">
        <v>2095</v>
      </c>
    </row>
    <row r="2029" spans="1:8" x14ac:dyDescent="0.25">
      <c r="A2029" s="10">
        <v>2603</v>
      </c>
      <c r="B2029" t="s">
        <v>2150</v>
      </c>
      <c r="C2029" s="2" t="s">
        <v>488</v>
      </c>
      <c r="D2029" s="1" t="s">
        <v>2095</v>
      </c>
      <c r="E2029">
        <v>17</v>
      </c>
      <c r="F2029">
        <v>25</v>
      </c>
      <c r="G2029">
        <v>50</v>
      </c>
      <c r="H2029">
        <v>60</v>
      </c>
    </row>
    <row r="2030" spans="1:8" x14ac:dyDescent="0.25">
      <c r="A2030" s="10">
        <v>2604</v>
      </c>
      <c r="B2030" t="s">
        <v>2150</v>
      </c>
      <c r="C2030" s="2" t="s">
        <v>489</v>
      </c>
      <c r="D2030" s="1" t="s">
        <v>2095</v>
      </c>
    </row>
    <row r="2031" spans="1:8" x14ac:dyDescent="0.25">
      <c r="A2031" s="10">
        <v>2605</v>
      </c>
      <c r="B2031" t="s">
        <v>2150</v>
      </c>
      <c r="C2031" s="2" t="s">
        <v>490</v>
      </c>
      <c r="D2031" s="1" t="s">
        <v>2095</v>
      </c>
    </row>
    <row r="2032" spans="1:8" x14ac:dyDescent="0.25">
      <c r="A2032" s="10">
        <v>2606</v>
      </c>
      <c r="B2032" t="s">
        <v>2150</v>
      </c>
      <c r="C2032" s="2" t="s">
        <v>491</v>
      </c>
      <c r="D2032" s="1" t="s">
        <v>2095</v>
      </c>
    </row>
    <row r="2033" spans="1:8" x14ac:dyDescent="0.25">
      <c r="A2033" s="10">
        <v>2607</v>
      </c>
      <c r="B2033" t="s">
        <v>2150</v>
      </c>
      <c r="C2033" s="2" t="s">
        <v>492</v>
      </c>
      <c r="D2033" s="1" t="s">
        <v>2095</v>
      </c>
    </row>
    <row r="2034" spans="1:8" x14ac:dyDescent="0.25">
      <c r="A2034" s="10">
        <v>2608</v>
      </c>
      <c r="B2034" t="s">
        <v>2150</v>
      </c>
      <c r="C2034" s="2" t="s">
        <v>493</v>
      </c>
      <c r="D2034" s="1" t="s">
        <v>2095</v>
      </c>
    </row>
    <row r="2035" spans="1:8" x14ac:dyDescent="0.25">
      <c r="A2035" s="10">
        <v>2609</v>
      </c>
      <c r="B2035" t="s">
        <v>2150</v>
      </c>
      <c r="C2035" s="2" t="s">
        <v>494</v>
      </c>
      <c r="D2035" s="1" t="s">
        <v>2095</v>
      </c>
    </row>
    <row r="2036" spans="1:8" x14ac:dyDescent="0.25">
      <c r="A2036" s="10">
        <v>2610</v>
      </c>
      <c r="B2036" t="s">
        <v>2150</v>
      </c>
      <c r="C2036" s="2" t="s">
        <v>495</v>
      </c>
      <c r="D2036" s="1" t="s">
        <v>2095</v>
      </c>
    </row>
    <row r="2037" spans="1:8" x14ac:dyDescent="0.25">
      <c r="A2037" s="10">
        <v>2611</v>
      </c>
      <c r="B2037" t="s">
        <v>2150</v>
      </c>
      <c r="C2037" s="2" t="s">
        <v>496</v>
      </c>
      <c r="D2037" s="1" t="s">
        <v>2095</v>
      </c>
    </row>
    <row r="2038" spans="1:8" x14ac:dyDescent="0.25">
      <c r="A2038" s="10">
        <v>2612</v>
      </c>
      <c r="B2038" t="s">
        <v>2151</v>
      </c>
      <c r="C2038" s="2" t="s">
        <v>497</v>
      </c>
      <c r="D2038" s="1" t="s">
        <v>2095</v>
      </c>
      <c r="E2038">
        <v>17</v>
      </c>
      <c r="F2038">
        <v>25</v>
      </c>
      <c r="G2038">
        <v>50</v>
      </c>
      <c r="H2038">
        <v>65</v>
      </c>
    </row>
    <row r="2039" spans="1:8" x14ac:dyDescent="0.25">
      <c r="A2039" s="10">
        <v>2613</v>
      </c>
      <c r="B2039" t="s">
        <v>2151</v>
      </c>
      <c r="C2039" s="2" t="s">
        <v>498</v>
      </c>
      <c r="D2039" s="1" t="s">
        <v>2095</v>
      </c>
    </row>
    <row r="2040" spans="1:8" x14ac:dyDescent="0.25">
      <c r="A2040" s="10">
        <v>2614</v>
      </c>
      <c r="B2040" t="s">
        <v>2151</v>
      </c>
      <c r="C2040" s="2" t="s">
        <v>499</v>
      </c>
      <c r="D2040" s="1" t="s">
        <v>2095</v>
      </c>
      <c r="E2040">
        <v>45</v>
      </c>
      <c r="F2040">
        <v>60</v>
      </c>
      <c r="G2040">
        <v>80</v>
      </c>
      <c r="H2040">
        <v>105</v>
      </c>
    </row>
    <row r="2041" spans="1:8" x14ac:dyDescent="0.25">
      <c r="A2041" s="10">
        <v>2615</v>
      </c>
      <c r="B2041" t="s">
        <v>2151</v>
      </c>
      <c r="C2041" s="2" t="s">
        <v>500</v>
      </c>
      <c r="D2041" s="1" t="s">
        <v>2095</v>
      </c>
    </row>
    <row r="2042" spans="1:8" x14ac:dyDescent="0.25">
      <c r="A2042" s="10">
        <v>2616</v>
      </c>
      <c r="B2042" t="s">
        <v>2151</v>
      </c>
      <c r="C2042" s="2" t="s">
        <v>501</v>
      </c>
      <c r="D2042" s="1" t="s">
        <v>2095</v>
      </c>
      <c r="E2042">
        <v>108</v>
      </c>
      <c r="F2042">
        <v>150</v>
      </c>
      <c r="G2042">
        <v>210</v>
      </c>
      <c r="H2042">
        <v>235</v>
      </c>
    </row>
    <row r="2043" spans="1:8" x14ac:dyDescent="0.25">
      <c r="A2043" s="10">
        <v>2617</v>
      </c>
      <c r="B2043" t="s">
        <v>2151</v>
      </c>
      <c r="C2043" s="2" t="s">
        <v>502</v>
      </c>
      <c r="D2043" s="1" t="s">
        <v>2095</v>
      </c>
      <c r="E2043">
        <v>157</v>
      </c>
      <c r="F2043">
        <v>200</v>
      </c>
      <c r="G2043">
        <v>260</v>
      </c>
      <c r="H2043">
        <v>295</v>
      </c>
    </row>
    <row r="2044" spans="1:8" x14ac:dyDescent="0.25">
      <c r="A2044" s="10">
        <v>2618</v>
      </c>
      <c r="B2044" t="s">
        <v>2151</v>
      </c>
      <c r="C2044" s="2" t="s">
        <v>706</v>
      </c>
      <c r="D2044" s="1" t="s">
        <v>2095</v>
      </c>
      <c r="E2044">
        <v>720</v>
      </c>
      <c r="F2044">
        <v>850</v>
      </c>
      <c r="G2044">
        <v>980</v>
      </c>
      <c r="H2044">
        <v>1100</v>
      </c>
    </row>
    <row r="2045" spans="1:8" x14ac:dyDescent="0.25">
      <c r="A2045" s="10">
        <v>2619</v>
      </c>
      <c r="B2045" t="s">
        <v>2151</v>
      </c>
      <c r="C2045" s="2" t="s">
        <v>4099</v>
      </c>
      <c r="D2045" s="1" t="s">
        <v>2095</v>
      </c>
      <c r="E2045">
        <v>272</v>
      </c>
      <c r="F2045">
        <v>300</v>
      </c>
      <c r="G2045">
        <v>380</v>
      </c>
      <c r="H2045">
        <v>395</v>
      </c>
    </row>
    <row r="2046" spans="1:8" x14ac:dyDescent="0.25">
      <c r="A2046" s="10">
        <v>2620</v>
      </c>
      <c r="B2046" t="s">
        <v>2151</v>
      </c>
      <c r="C2046" s="2" t="s">
        <v>503</v>
      </c>
      <c r="D2046" s="1" t="s">
        <v>2095</v>
      </c>
      <c r="E2046">
        <v>460</v>
      </c>
      <c r="F2046">
        <v>620</v>
      </c>
      <c r="G2046">
        <v>750</v>
      </c>
      <c r="H2046">
        <v>875</v>
      </c>
    </row>
    <row r="2047" spans="1:8" x14ac:dyDescent="0.25">
      <c r="A2047" s="10">
        <v>2621</v>
      </c>
      <c r="B2047" t="s">
        <v>2152</v>
      </c>
      <c r="C2047" s="2" t="s">
        <v>504</v>
      </c>
      <c r="D2047" s="1" t="s">
        <v>2095</v>
      </c>
      <c r="E2047">
        <v>25</v>
      </c>
      <c r="F2047">
        <v>50</v>
      </c>
      <c r="G2047">
        <v>60</v>
      </c>
      <c r="H2047">
        <v>65</v>
      </c>
    </row>
    <row r="2048" spans="1:8" x14ac:dyDescent="0.25">
      <c r="A2048" s="10">
        <v>2622</v>
      </c>
      <c r="B2048" t="s">
        <v>2152</v>
      </c>
      <c r="C2048" s="2" t="s">
        <v>505</v>
      </c>
      <c r="D2048" s="1" t="s">
        <v>2095</v>
      </c>
    </row>
    <row r="2049" spans="1:8" x14ac:dyDescent="0.25">
      <c r="A2049" s="10">
        <v>2623</v>
      </c>
      <c r="B2049" t="s">
        <v>2152</v>
      </c>
      <c r="C2049" s="2" t="s">
        <v>506</v>
      </c>
      <c r="D2049" s="1" t="s">
        <v>2095</v>
      </c>
      <c r="E2049">
        <v>50</v>
      </c>
      <c r="F2049">
        <v>80</v>
      </c>
      <c r="G2049">
        <v>100</v>
      </c>
      <c r="H2049">
        <v>125</v>
      </c>
    </row>
    <row r="2050" spans="1:8" x14ac:dyDescent="0.25">
      <c r="A2050" s="10">
        <v>2624</v>
      </c>
      <c r="B2050" t="s">
        <v>2152</v>
      </c>
      <c r="C2050" s="2" t="s">
        <v>507</v>
      </c>
      <c r="D2050" s="1" t="s">
        <v>2095</v>
      </c>
    </row>
    <row r="2051" spans="1:8" x14ac:dyDescent="0.25">
      <c r="A2051" s="10">
        <v>2625</v>
      </c>
      <c r="B2051" t="s">
        <v>2152</v>
      </c>
      <c r="C2051" s="2" t="s">
        <v>508</v>
      </c>
      <c r="D2051" s="1" t="s">
        <v>2095</v>
      </c>
      <c r="E2051">
        <v>160</v>
      </c>
      <c r="F2051">
        <v>250</v>
      </c>
      <c r="G2051">
        <v>280</v>
      </c>
      <c r="H2051">
        <v>295</v>
      </c>
    </row>
    <row r="2052" spans="1:8" x14ac:dyDescent="0.25">
      <c r="A2052" s="10">
        <v>2626</v>
      </c>
      <c r="B2052" t="s">
        <v>2152</v>
      </c>
      <c r="C2052" s="2" t="s">
        <v>509</v>
      </c>
      <c r="D2052" s="1" t="s">
        <v>2095</v>
      </c>
    </row>
    <row r="2053" spans="1:8" x14ac:dyDescent="0.25">
      <c r="A2053" s="10">
        <v>2627</v>
      </c>
      <c r="B2053" t="s">
        <v>2152</v>
      </c>
      <c r="C2053" s="2" t="s">
        <v>510</v>
      </c>
      <c r="D2053" s="1" t="s">
        <v>2095</v>
      </c>
    </row>
    <row r="2054" spans="1:8" x14ac:dyDescent="0.25">
      <c r="A2054" s="10">
        <v>2628</v>
      </c>
      <c r="B2054" t="s">
        <v>2152</v>
      </c>
      <c r="C2054" s="2" t="s">
        <v>511</v>
      </c>
      <c r="D2054" s="1" t="s">
        <v>2095</v>
      </c>
    </row>
    <row r="2055" spans="1:8" x14ac:dyDescent="0.25">
      <c r="A2055" s="10">
        <v>2629</v>
      </c>
      <c r="B2055" t="s">
        <v>2152</v>
      </c>
      <c r="C2055" s="2" t="s">
        <v>512</v>
      </c>
      <c r="D2055" s="1" t="s">
        <v>2095</v>
      </c>
      <c r="E2055">
        <v>520</v>
      </c>
      <c r="F2055">
        <v>850</v>
      </c>
      <c r="G2055">
        <v>950</v>
      </c>
      <c r="H2055">
        <v>1275</v>
      </c>
    </row>
    <row r="2056" spans="1:8" x14ac:dyDescent="0.25">
      <c r="A2056" s="10">
        <v>2630</v>
      </c>
      <c r="B2056" t="s">
        <v>2153</v>
      </c>
      <c r="C2056" s="2" t="s">
        <v>513</v>
      </c>
      <c r="D2056" s="1" t="s">
        <v>2095</v>
      </c>
      <c r="E2056">
        <v>12</v>
      </c>
      <c r="F2056">
        <v>30</v>
      </c>
      <c r="G2056">
        <v>30</v>
      </c>
      <c r="H2056">
        <v>75</v>
      </c>
    </row>
    <row r="2057" spans="1:8" x14ac:dyDescent="0.25">
      <c r="A2057" s="10">
        <v>2631</v>
      </c>
      <c r="B2057" t="s">
        <v>2153</v>
      </c>
      <c r="C2057" s="2" t="s">
        <v>514</v>
      </c>
      <c r="D2057" s="1" t="s">
        <v>2095</v>
      </c>
    </row>
    <row r="2058" spans="1:8" x14ac:dyDescent="0.25">
      <c r="A2058" s="10">
        <v>2632</v>
      </c>
      <c r="B2058" t="s">
        <v>2153</v>
      </c>
      <c r="C2058" s="2" t="s">
        <v>515</v>
      </c>
      <c r="D2058" s="1" t="s">
        <v>2095</v>
      </c>
      <c r="E2058">
        <v>23</v>
      </c>
      <c r="F2058">
        <v>60</v>
      </c>
      <c r="G2058">
        <v>70</v>
      </c>
      <c r="H2058">
        <v>125</v>
      </c>
    </row>
    <row r="2059" spans="1:8" x14ac:dyDescent="0.25">
      <c r="A2059" s="10">
        <v>2633</v>
      </c>
      <c r="B2059" t="s">
        <v>2153</v>
      </c>
      <c r="C2059" s="2" t="s">
        <v>516</v>
      </c>
      <c r="D2059" s="1" t="s">
        <v>2095</v>
      </c>
    </row>
    <row r="2060" spans="1:8" x14ac:dyDescent="0.25">
      <c r="A2060" s="10">
        <v>2634</v>
      </c>
      <c r="B2060" t="s">
        <v>2153</v>
      </c>
      <c r="C2060" s="2" t="s">
        <v>517</v>
      </c>
      <c r="D2060" s="1" t="s">
        <v>2095</v>
      </c>
      <c r="E2060">
        <v>55</v>
      </c>
      <c r="F2060">
        <v>110</v>
      </c>
      <c r="G2060">
        <v>120</v>
      </c>
      <c r="H2060">
        <v>165</v>
      </c>
    </row>
    <row r="2061" spans="1:8" x14ac:dyDescent="0.25">
      <c r="A2061" s="10">
        <v>2635</v>
      </c>
      <c r="B2061" t="s">
        <v>2153</v>
      </c>
      <c r="C2061" s="2" t="s">
        <v>518</v>
      </c>
      <c r="D2061" s="1" t="s">
        <v>2095</v>
      </c>
    </row>
    <row r="2062" spans="1:8" x14ac:dyDescent="0.25">
      <c r="A2062" s="10">
        <v>2636</v>
      </c>
      <c r="B2062" t="s">
        <v>2153</v>
      </c>
      <c r="C2062" s="2" t="s">
        <v>519</v>
      </c>
      <c r="D2062" s="1" t="s">
        <v>2095</v>
      </c>
    </row>
    <row r="2063" spans="1:8" x14ac:dyDescent="0.25">
      <c r="A2063" s="10">
        <v>2637</v>
      </c>
      <c r="B2063" t="s">
        <v>2153</v>
      </c>
      <c r="C2063" s="2" t="s">
        <v>520</v>
      </c>
      <c r="D2063" s="1" t="s">
        <v>2095</v>
      </c>
    </row>
    <row r="2064" spans="1:8" x14ac:dyDescent="0.25">
      <c r="A2064" s="10">
        <v>2638</v>
      </c>
      <c r="B2064" t="s">
        <v>2153</v>
      </c>
      <c r="C2064" s="2" t="s">
        <v>521</v>
      </c>
      <c r="D2064" s="1" t="s">
        <v>2095</v>
      </c>
    </row>
    <row r="2065" spans="1:8" x14ac:dyDescent="0.25">
      <c r="A2065" s="10">
        <v>2639</v>
      </c>
      <c r="B2065" t="s">
        <v>2151</v>
      </c>
      <c r="C2065" s="2" t="s">
        <v>522</v>
      </c>
      <c r="D2065" s="1" t="s">
        <v>2095</v>
      </c>
    </row>
    <row r="2066" spans="1:8" x14ac:dyDescent="0.25">
      <c r="A2066" s="10">
        <v>2640</v>
      </c>
      <c r="B2066" t="s">
        <v>2151</v>
      </c>
      <c r="C2066" s="2" t="s">
        <v>523</v>
      </c>
      <c r="D2066" s="1" t="s">
        <v>2095</v>
      </c>
    </row>
    <row r="2067" spans="1:8" x14ac:dyDescent="0.25">
      <c r="A2067" s="10">
        <v>2641</v>
      </c>
      <c r="B2067" t="s">
        <v>2151</v>
      </c>
      <c r="C2067" s="2" t="s">
        <v>524</v>
      </c>
      <c r="D2067" s="1" t="s">
        <v>2095</v>
      </c>
    </row>
    <row r="2068" spans="1:8" x14ac:dyDescent="0.25">
      <c r="A2068" s="10">
        <v>2642</v>
      </c>
      <c r="B2068" t="s">
        <v>2151</v>
      </c>
      <c r="C2068" s="2" t="s">
        <v>525</v>
      </c>
      <c r="D2068" s="1" t="s">
        <v>2095</v>
      </c>
    </row>
    <row r="2069" spans="1:8" x14ac:dyDescent="0.25">
      <c r="A2069" s="10">
        <v>2643</v>
      </c>
      <c r="B2069" t="s">
        <v>2151</v>
      </c>
      <c r="C2069" s="2" t="s">
        <v>526</v>
      </c>
      <c r="D2069" s="1" t="s">
        <v>2095</v>
      </c>
    </row>
    <row r="2070" spans="1:8" x14ac:dyDescent="0.25">
      <c r="A2070" s="10">
        <v>2644</v>
      </c>
      <c r="B2070" t="s">
        <v>2151</v>
      </c>
      <c r="C2070" s="2" t="s">
        <v>527</v>
      </c>
      <c r="D2070" s="1" t="s">
        <v>2095</v>
      </c>
    </row>
    <row r="2071" spans="1:8" x14ac:dyDescent="0.25">
      <c r="A2071" s="10">
        <v>2645</v>
      </c>
      <c r="B2071" t="s">
        <v>2151</v>
      </c>
      <c r="C2071" s="2" t="s">
        <v>2408</v>
      </c>
      <c r="D2071" s="1" t="s">
        <v>2095</v>
      </c>
      <c r="E2071" s="2">
        <v>30</v>
      </c>
      <c r="F2071" s="2">
        <v>40</v>
      </c>
      <c r="G2071" s="2">
        <v>70</v>
      </c>
      <c r="H2071" s="2">
        <v>85</v>
      </c>
    </row>
    <row r="2072" spans="1:8" x14ac:dyDescent="0.25">
      <c r="A2072" s="10">
        <v>2646</v>
      </c>
      <c r="B2072" t="s">
        <v>2144</v>
      </c>
      <c r="C2072" s="2" t="s">
        <v>2594</v>
      </c>
      <c r="D2072" s="1" t="s">
        <v>2143</v>
      </c>
      <c r="E2072">
        <v>1237</v>
      </c>
      <c r="F2072">
        <v>1300</v>
      </c>
      <c r="G2072">
        <v>1500</v>
      </c>
      <c r="H2072">
        <v>2750</v>
      </c>
    </row>
    <row r="2074" spans="1:8" x14ac:dyDescent="0.25">
      <c r="A2074" s="10">
        <v>2647</v>
      </c>
      <c r="B2074" t="s">
        <v>694</v>
      </c>
      <c r="C2074" s="3" t="s">
        <v>2749</v>
      </c>
      <c r="D2074" s="1" t="s">
        <v>2752</v>
      </c>
      <c r="E2074">
        <v>2712</v>
      </c>
      <c r="F2074">
        <f>SUM(E2074+50)</f>
        <v>2762</v>
      </c>
      <c r="G2074">
        <v>3200</v>
      </c>
      <c r="H2074">
        <v>4810</v>
      </c>
    </row>
    <row r="2075" spans="1:8" x14ac:dyDescent="0.25">
      <c r="A2075" s="10">
        <v>2648</v>
      </c>
      <c r="B2075" t="s">
        <v>694</v>
      </c>
      <c r="C2075" s="3" t="s">
        <v>2750</v>
      </c>
      <c r="D2075" s="1" t="s">
        <v>2752</v>
      </c>
      <c r="E2075">
        <v>1445</v>
      </c>
      <c r="F2075">
        <f t="shared" ref="F2075:F2086" si="34">SUM(E2075+50)</f>
        <v>1495</v>
      </c>
      <c r="G2075">
        <v>1800</v>
      </c>
      <c r="H2075">
        <v>2560</v>
      </c>
    </row>
    <row r="2076" spans="1:8" x14ac:dyDescent="0.25">
      <c r="A2076" s="10">
        <v>2649</v>
      </c>
      <c r="B2076" t="s">
        <v>694</v>
      </c>
      <c r="C2076" s="3" t="s">
        <v>2751</v>
      </c>
      <c r="D2076" s="1" t="s">
        <v>2752</v>
      </c>
      <c r="E2076">
        <v>800</v>
      </c>
      <c r="F2076">
        <f t="shared" si="34"/>
        <v>850</v>
      </c>
      <c r="G2076">
        <v>1000</v>
      </c>
      <c r="H2076">
        <v>1420</v>
      </c>
    </row>
    <row r="2077" spans="1:8" x14ac:dyDescent="0.25">
      <c r="A2077" s="10">
        <v>2650</v>
      </c>
      <c r="B2077" t="s">
        <v>694</v>
      </c>
      <c r="C2077" s="3" t="s">
        <v>2753</v>
      </c>
      <c r="D2077" s="1" t="s">
        <v>2752</v>
      </c>
    </row>
    <row r="2078" spans="1:8" x14ac:dyDescent="0.25">
      <c r="A2078" s="10">
        <v>2651</v>
      </c>
      <c r="B2078" t="s">
        <v>694</v>
      </c>
      <c r="C2078" s="3" t="s">
        <v>2754</v>
      </c>
      <c r="D2078" s="1" t="s">
        <v>2752</v>
      </c>
      <c r="E2078">
        <v>1445</v>
      </c>
      <c r="F2078">
        <f t="shared" si="34"/>
        <v>1495</v>
      </c>
      <c r="G2078">
        <v>1800</v>
      </c>
      <c r="H2078">
        <v>3825</v>
      </c>
    </row>
    <row r="2079" spans="1:8" x14ac:dyDescent="0.25">
      <c r="A2079" s="10">
        <v>2652</v>
      </c>
      <c r="B2079" t="s">
        <v>694</v>
      </c>
      <c r="C2079" s="3" t="s">
        <v>2755</v>
      </c>
      <c r="D2079" s="1" t="s">
        <v>2752</v>
      </c>
    </row>
    <row r="2080" spans="1:8" x14ac:dyDescent="0.25">
      <c r="C2080" s="3"/>
    </row>
    <row r="2081" spans="1:8" x14ac:dyDescent="0.25">
      <c r="A2081" s="10">
        <v>2653</v>
      </c>
      <c r="B2081" t="s">
        <v>694</v>
      </c>
      <c r="C2081" s="2" t="s">
        <v>2756</v>
      </c>
      <c r="D2081" s="1" t="s">
        <v>2752</v>
      </c>
      <c r="E2081">
        <v>580</v>
      </c>
      <c r="F2081">
        <f t="shared" si="34"/>
        <v>630</v>
      </c>
      <c r="G2081">
        <v>680</v>
      </c>
      <c r="H2081">
        <v>1175</v>
      </c>
    </row>
    <row r="2082" spans="1:8" x14ac:dyDescent="0.25">
      <c r="A2082" s="10">
        <v>2654</v>
      </c>
      <c r="B2082" t="s">
        <v>694</v>
      </c>
      <c r="C2082" s="2" t="s">
        <v>2757</v>
      </c>
      <c r="D2082" s="1" t="s">
        <v>2752</v>
      </c>
      <c r="E2082">
        <v>100</v>
      </c>
      <c r="F2082">
        <f t="shared" si="34"/>
        <v>150</v>
      </c>
      <c r="G2082">
        <v>200</v>
      </c>
      <c r="H2082">
        <v>230</v>
      </c>
    </row>
    <row r="2083" spans="1:8" x14ac:dyDescent="0.25">
      <c r="A2083" s="10">
        <v>2655</v>
      </c>
      <c r="B2083" t="s">
        <v>694</v>
      </c>
      <c r="C2083" s="2" t="s">
        <v>2759</v>
      </c>
      <c r="D2083" s="1" t="s">
        <v>2752</v>
      </c>
      <c r="E2083">
        <v>1000</v>
      </c>
      <c r="F2083">
        <f t="shared" si="34"/>
        <v>1050</v>
      </c>
      <c r="G2083">
        <v>1300</v>
      </c>
      <c r="H2083">
        <v>1490</v>
      </c>
    </row>
    <row r="2084" spans="1:8" x14ac:dyDescent="0.25">
      <c r="A2084" s="10">
        <v>2656</v>
      </c>
      <c r="B2084" t="s">
        <v>694</v>
      </c>
      <c r="C2084" s="2" t="s">
        <v>2760</v>
      </c>
      <c r="D2084" s="1" t="s">
        <v>2752</v>
      </c>
      <c r="E2084">
        <v>325</v>
      </c>
      <c r="F2084">
        <f t="shared" si="34"/>
        <v>375</v>
      </c>
      <c r="G2084">
        <v>500</v>
      </c>
      <c r="H2084">
        <v>650</v>
      </c>
    </row>
    <row r="2085" spans="1:8" x14ac:dyDescent="0.25">
      <c r="F2085">
        <f t="shared" si="34"/>
        <v>50</v>
      </c>
    </row>
    <row r="2086" spans="1:8" x14ac:dyDescent="0.25">
      <c r="A2086" s="10">
        <v>2657</v>
      </c>
      <c r="B2086" t="s">
        <v>2758</v>
      </c>
      <c r="C2086" s="1" t="s">
        <v>2761</v>
      </c>
      <c r="D2086" s="1" t="s">
        <v>2209</v>
      </c>
      <c r="E2086">
        <v>4470</v>
      </c>
      <c r="F2086">
        <f t="shared" si="34"/>
        <v>4520</v>
      </c>
      <c r="G2086">
        <v>5200</v>
      </c>
      <c r="H2086">
        <v>6880</v>
      </c>
    </row>
    <row r="2087" spans="1:8" x14ac:dyDescent="0.25">
      <c r="A2087" s="10">
        <v>2658</v>
      </c>
      <c r="B2087" t="s">
        <v>2763</v>
      </c>
      <c r="C2087" s="1" t="s">
        <v>2762</v>
      </c>
      <c r="D2087" s="1" t="s">
        <v>2209</v>
      </c>
      <c r="E2087">
        <v>3780</v>
      </c>
      <c r="F2087">
        <v>3780</v>
      </c>
      <c r="G2087">
        <v>3800</v>
      </c>
      <c r="H2087">
        <v>8100</v>
      </c>
    </row>
    <row r="2089" spans="1:8" x14ac:dyDescent="0.25">
      <c r="A2089" s="10">
        <v>2659</v>
      </c>
      <c r="B2089" s="10" t="s">
        <v>703</v>
      </c>
      <c r="C2089" s="8" t="s">
        <v>4190</v>
      </c>
      <c r="D2089" s="10" t="s">
        <v>2793</v>
      </c>
      <c r="E2089" s="10">
        <v>525</v>
      </c>
      <c r="F2089" s="10">
        <v>550</v>
      </c>
      <c r="G2089" s="10">
        <v>550</v>
      </c>
      <c r="H2089" s="10">
        <f>SUM(G2089+25)</f>
        <v>575</v>
      </c>
    </row>
    <row r="2090" spans="1:8" x14ac:dyDescent="0.25">
      <c r="A2090" s="10">
        <v>2660</v>
      </c>
      <c r="B2090" s="10" t="s">
        <v>703</v>
      </c>
      <c r="C2090" s="8" t="s">
        <v>4191</v>
      </c>
      <c r="D2090" s="10">
        <v>111</v>
      </c>
      <c r="E2090" s="10">
        <v>588</v>
      </c>
      <c r="F2090" s="10">
        <v>600</v>
      </c>
      <c r="G2090" s="10">
        <v>600</v>
      </c>
      <c r="H2090" s="10">
        <f t="shared" ref="H2090:H2102" si="35">SUM(G2090+25)</f>
        <v>625</v>
      </c>
    </row>
    <row r="2091" spans="1:8" x14ac:dyDescent="0.25">
      <c r="A2091" s="10">
        <v>2661</v>
      </c>
      <c r="B2091" s="10" t="s">
        <v>703</v>
      </c>
      <c r="C2091" s="8" t="s">
        <v>4192</v>
      </c>
      <c r="D2091" s="10">
        <v>111</v>
      </c>
      <c r="E2091" s="10">
        <v>595</v>
      </c>
      <c r="F2091" s="10">
        <v>625</v>
      </c>
      <c r="G2091" s="10">
        <v>625</v>
      </c>
      <c r="H2091" s="10">
        <f t="shared" si="35"/>
        <v>650</v>
      </c>
    </row>
    <row r="2092" spans="1:8" x14ac:dyDescent="0.25">
      <c r="A2092" s="10">
        <v>2662</v>
      </c>
      <c r="B2092" s="10" t="s">
        <v>703</v>
      </c>
      <c r="C2092" s="8" t="s">
        <v>4193</v>
      </c>
      <c r="D2092" s="10">
        <v>111</v>
      </c>
      <c r="E2092" s="10">
        <v>920</v>
      </c>
      <c r="F2092" s="10">
        <v>950</v>
      </c>
      <c r="G2092" s="10">
        <v>950</v>
      </c>
      <c r="H2092" s="10">
        <f t="shared" si="35"/>
        <v>975</v>
      </c>
    </row>
    <row r="2093" spans="1:8" x14ac:dyDescent="0.25">
      <c r="A2093" s="10">
        <v>2663</v>
      </c>
      <c r="B2093" s="10" t="s">
        <v>703</v>
      </c>
      <c r="C2093" s="8" t="s">
        <v>4194</v>
      </c>
      <c r="D2093" s="10">
        <v>111</v>
      </c>
      <c r="E2093" s="10">
        <v>1365</v>
      </c>
      <c r="F2093" s="10">
        <v>1400</v>
      </c>
      <c r="G2093" s="10">
        <v>1400</v>
      </c>
      <c r="H2093" s="10">
        <f t="shared" si="35"/>
        <v>1425</v>
      </c>
    </row>
    <row r="2094" spans="1:8" x14ac:dyDescent="0.25">
      <c r="A2094" s="10">
        <v>2664</v>
      </c>
      <c r="B2094" s="10" t="s">
        <v>703</v>
      </c>
      <c r="C2094" s="8" t="s">
        <v>4195</v>
      </c>
      <c r="D2094" s="10">
        <v>111</v>
      </c>
      <c r="E2094" s="10">
        <v>1010</v>
      </c>
      <c r="F2094" s="10">
        <v>1150</v>
      </c>
      <c r="G2094" s="10">
        <v>1150</v>
      </c>
      <c r="H2094" s="10">
        <f t="shared" si="35"/>
        <v>1175</v>
      </c>
    </row>
    <row r="2095" spans="1:8" x14ac:dyDescent="0.25">
      <c r="A2095" s="10">
        <v>2665</v>
      </c>
      <c r="B2095" s="10" t="s">
        <v>703</v>
      </c>
      <c r="C2095" s="8" t="s">
        <v>4196</v>
      </c>
      <c r="D2095" s="10">
        <v>111</v>
      </c>
      <c r="E2095" s="10">
        <v>1320</v>
      </c>
      <c r="F2095" s="10">
        <v>1350</v>
      </c>
      <c r="G2095" s="10">
        <v>1350</v>
      </c>
      <c r="H2095" s="10">
        <f t="shared" si="35"/>
        <v>1375</v>
      </c>
    </row>
    <row r="2096" spans="1:8" x14ac:dyDescent="0.25">
      <c r="A2096" s="10">
        <v>2666</v>
      </c>
      <c r="B2096" s="10" t="s">
        <v>703</v>
      </c>
      <c r="C2096" s="8" t="s">
        <v>4197</v>
      </c>
      <c r="D2096" s="10">
        <v>111</v>
      </c>
      <c r="E2096" s="10">
        <v>1690</v>
      </c>
      <c r="F2096" s="10">
        <v>1700</v>
      </c>
      <c r="G2096" s="10">
        <v>1700</v>
      </c>
      <c r="H2096" s="10">
        <f t="shared" si="35"/>
        <v>1725</v>
      </c>
    </row>
    <row r="2097" spans="1:8" x14ac:dyDescent="0.25">
      <c r="A2097" s="10">
        <v>2667</v>
      </c>
      <c r="B2097" s="10" t="s">
        <v>703</v>
      </c>
      <c r="C2097" s="8" t="s">
        <v>4198</v>
      </c>
      <c r="D2097" s="10">
        <v>111</v>
      </c>
      <c r="E2097" s="10">
        <v>2365</v>
      </c>
      <c r="F2097" s="10">
        <v>2400</v>
      </c>
      <c r="G2097" s="10">
        <v>2400</v>
      </c>
      <c r="H2097" s="10">
        <f t="shared" si="35"/>
        <v>2425</v>
      </c>
    </row>
    <row r="2098" spans="1:8" x14ac:dyDescent="0.25">
      <c r="A2098" s="10">
        <v>2668</v>
      </c>
      <c r="B2098" s="10" t="s">
        <v>703</v>
      </c>
      <c r="C2098" s="8" t="s">
        <v>4199</v>
      </c>
      <c r="D2098" s="10">
        <v>111</v>
      </c>
      <c r="E2098" s="10">
        <v>1499</v>
      </c>
      <c r="F2098" s="10">
        <v>1500</v>
      </c>
      <c r="G2098" s="10">
        <v>1500</v>
      </c>
      <c r="H2098" s="10">
        <f t="shared" si="35"/>
        <v>1525</v>
      </c>
    </row>
    <row r="2099" spans="1:8" x14ac:dyDescent="0.25">
      <c r="A2099" s="10">
        <v>2669</v>
      </c>
      <c r="B2099" s="10" t="s">
        <v>703</v>
      </c>
      <c r="C2099" s="8" t="s">
        <v>4200</v>
      </c>
      <c r="D2099" s="10">
        <v>111</v>
      </c>
      <c r="E2099" s="10">
        <v>1846</v>
      </c>
      <c r="F2099" s="10">
        <v>1900</v>
      </c>
      <c r="G2099" s="10">
        <v>1900</v>
      </c>
      <c r="H2099" s="10">
        <f t="shared" si="35"/>
        <v>1925</v>
      </c>
    </row>
    <row r="2100" spans="1:8" x14ac:dyDescent="0.25">
      <c r="A2100" s="10">
        <v>2670</v>
      </c>
      <c r="B2100" s="10" t="s">
        <v>703</v>
      </c>
      <c r="C2100" s="8" t="s">
        <v>4201</v>
      </c>
      <c r="D2100" s="10">
        <v>111</v>
      </c>
      <c r="E2100" s="10">
        <v>1999</v>
      </c>
      <c r="F2100" s="10">
        <v>2050</v>
      </c>
      <c r="G2100" s="10">
        <v>2050</v>
      </c>
      <c r="H2100" s="10">
        <f t="shared" si="35"/>
        <v>2075</v>
      </c>
    </row>
    <row r="2101" spans="1:8" x14ac:dyDescent="0.25">
      <c r="A2101" s="10">
        <v>2671</v>
      </c>
      <c r="B2101" s="10" t="s">
        <v>703</v>
      </c>
      <c r="C2101" s="8" t="s">
        <v>4202</v>
      </c>
      <c r="D2101" s="10">
        <v>111</v>
      </c>
      <c r="E2101" s="10">
        <v>4320</v>
      </c>
      <c r="F2101" s="10">
        <v>4500</v>
      </c>
      <c r="G2101" s="10">
        <v>4500</v>
      </c>
      <c r="H2101" s="10">
        <f t="shared" si="35"/>
        <v>4525</v>
      </c>
    </row>
    <row r="2102" spans="1:8" x14ac:dyDescent="0.25">
      <c r="A2102" s="10">
        <v>2672</v>
      </c>
      <c r="B2102" s="10" t="s">
        <v>703</v>
      </c>
      <c r="C2102" s="8" t="s">
        <v>4203</v>
      </c>
      <c r="D2102" s="10">
        <v>111</v>
      </c>
      <c r="E2102" s="10">
        <v>5800</v>
      </c>
      <c r="F2102" s="10">
        <v>6500</v>
      </c>
      <c r="G2102" s="10">
        <v>6500</v>
      </c>
      <c r="H2102" s="10">
        <f t="shared" si="35"/>
        <v>6525</v>
      </c>
    </row>
    <row r="2103" spans="1:8" x14ac:dyDescent="0.25">
      <c r="B2103" s="10"/>
      <c r="C2103" s="8"/>
      <c r="D2103" s="10"/>
      <c r="E2103" s="10"/>
      <c r="F2103" s="10"/>
      <c r="G2103" s="10"/>
      <c r="H2103" s="10"/>
    </row>
    <row r="2104" spans="1:8" x14ac:dyDescent="0.25">
      <c r="A2104" s="10">
        <v>2673</v>
      </c>
      <c r="B2104" s="10" t="s">
        <v>704</v>
      </c>
      <c r="C2104" s="8" t="s">
        <v>4204</v>
      </c>
      <c r="D2104" s="10">
        <v>111</v>
      </c>
      <c r="E2104" s="10">
        <f>SUM(G2104-50)</f>
        <v>240</v>
      </c>
      <c r="F2104" s="10">
        <v>290</v>
      </c>
      <c r="G2104" s="10">
        <v>290</v>
      </c>
      <c r="H2104" s="10">
        <f>SUM(G2104+25)</f>
        <v>315</v>
      </c>
    </row>
    <row r="2105" spans="1:8" x14ac:dyDescent="0.25">
      <c r="A2105" s="10">
        <v>2674</v>
      </c>
      <c r="B2105" s="10" t="s">
        <v>704</v>
      </c>
      <c r="C2105" s="8" t="s">
        <v>4205</v>
      </c>
      <c r="D2105" s="10">
        <v>111</v>
      </c>
      <c r="E2105" s="10">
        <f t="shared" ref="E2105:E2117" si="36">SUM(G2105-50)</f>
        <v>430</v>
      </c>
      <c r="F2105" s="10">
        <f>SUM(F2090-120)</f>
        <v>480</v>
      </c>
      <c r="G2105" s="10">
        <f>SUM(G2090-120)</f>
        <v>480</v>
      </c>
      <c r="H2105" s="10">
        <f t="shared" ref="H2105:H2117" si="37">SUM(G2105+25)</f>
        <v>505</v>
      </c>
    </row>
    <row r="2106" spans="1:8" x14ac:dyDescent="0.25">
      <c r="A2106" s="10">
        <v>2675</v>
      </c>
      <c r="B2106" s="10" t="s">
        <v>704</v>
      </c>
      <c r="C2106" s="8" t="s">
        <v>4206</v>
      </c>
      <c r="D2106" s="10">
        <v>111</v>
      </c>
      <c r="E2106" s="10">
        <f t="shared" si="36"/>
        <v>430</v>
      </c>
      <c r="F2106" s="10">
        <v>480</v>
      </c>
      <c r="G2106" s="10">
        <v>480</v>
      </c>
      <c r="H2106" s="10">
        <f t="shared" si="37"/>
        <v>505</v>
      </c>
    </row>
    <row r="2107" spans="1:8" x14ac:dyDescent="0.25">
      <c r="A2107" s="10">
        <v>2676</v>
      </c>
      <c r="B2107" s="10" t="s">
        <v>704</v>
      </c>
      <c r="C2107" s="8" t="s">
        <v>4207</v>
      </c>
      <c r="D2107" s="10">
        <v>111</v>
      </c>
      <c r="E2107" s="10">
        <v>590</v>
      </c>
      <c r="F2107" s="10">
        <v>600</v>
      </c>
      <c r="G2107" s="10">
        <v>600</v>
      </c>
      <c r="H2107" s="10">
        <f t="shared" si="37"/>
        <v>625</v>
      </c>
    </row>
    <row r="2108" spans="1:8" x14ac:dyDescent="0.25">
      <c r="A2108" s="10">
        <v>2677</v>
      </c>
      <c r="B2108" s="10" t="s">
        <v>704</v>
      </c>
      <c r="C2108" s="8" t="s">
        <v>4208</v>
      </c>
      <c r="D2108" s="10">
        <v>111</v>
      </c>
      <c r="E2108" s="10">
        <f t="shared" si="36"/>
        <v>575</v>
      </c>
      <c r="F2108" s="10">
        <v>625</v>
      </c>
      <c r="G2108" s="10">
        <v>625</v>
      </c>
      <c r="H2108" s="10">
        <f t="shared" si="37"/>
        <v>650</v>
      </c>
    </row>
    <row r="2109" spans="1:8" x14ac:dyDescent="0.25">
      <c r="A2109" s="10">
        <v>2678</v>
      </c>
      <c r="B2109" s="10" t="s">
        <v>704</v>
      </c>
      <c r="C2109" s="8" t="s">
        <v>4209</v>
      </c>
      <c r="D2109" s="10">
        <v>111</v>
      </c>
      <c r="E2109" s="10">
        <v>740</v>
      </c>
      <c r="F2109" s="10">
        <v>750</v>
      </c>
      <c r="G2109" s="10">
        <v>750</v>
      </c>
      <c r="H2109" s="10">
        <f t="shared" si="37"/>
        <v>775</v>
      </c>
    </row>
    <row r="2110" spans="1:8" x14ac:dyDescent="0.25">
      <c r="A2110" s="10">
        <v>2679</v>
      </c>
      <c r="B2110" s="10" t="s">
        <v>704</v>
      </c>
      <c r="C2110" s="8" t="s">
        <v>4210</v>
      </c>
      <c r="D2110" s="10">
        <v>111</v>
      </c>
      <c r="E2110" s="10">
        <f t="shared" si="36"/>
        <v>800</v>
      </c>
      <c r="F2110" s="10">
        <v>850</v>
      </c>
      <c r="G2110" s="10">
        <v>850</v>
      </c>
      <c r="H2110" s="10">
        <f t="shared" si="37"/>
        <v>875</v>
      </c>
    </row>
    <row r="2111" spans="1:8" x14ac:dyDescent="0.25">
      <c r="A2111" s="10">
        <v>2680</v>
      </c>
      <c r="B2111" s="10" t="s">
        <v>704</v>
      </c>
      <c r="C2111" s="8" t="s">
        <v>4211</v>
      </c>
      <c r="D2111" s="10">
        <v>111</v>
      </c>
      <c r="E2111" s="10">
        <f t="shared" si="36"/>
        <v>875</v>
      </c>
      <c r="F2111" s="10">
        <v>925</v>
      </c>
      <c r="G2111" s="10">
        <v>925</v>
      </c>
      <c r="H2111" s="10">
        <f t="shared" si="37"/>
        <v>950</v>
      </c>
    </row>
    <row r="2112" spans="1:8" x14ac:dyDescent="0.25">
      <c r="A2112" s="10">
        <v>2681</v>
      </c>
      <c r="B2112" s="10" t="s">
        <v>704</v>
      </c>
      <c r="C2112" s="8" t="s">
        <v>4212</v>
      </c>
      <c r="D2112" s="10">
        <v>111</v>
      </c>
      <c r="E2112" s="10">
        <f t="shared" si="36"/>
        <v>1150</v>
      </c>
      <c r="F2112" s="10">
        <v>1200</v>
      </c>
      <c r="G2112" s="10">
        <v>1200</v>
      </c>
      <c r="H2112" s="10">
        <f t="shared" si="37"/>
        <v>1225</v>
      </c>
    </row>
    <row r="2113" spans="1:8" x14ac:dyDescent="0.25">
      <c r="A2113" s="10">
        <v>2682</v>
      </c>
      <c r="B2113" s="10" t="s">
        <v>704</v>
      </c>
      <c r="C2113" s="8" t="s">
        <v>4213</v>
      </c>
      <c r="D2113" s="10">
        <v>111</v>
      </c>
      <c r="E2113" s="10">
        <f t="shared" si="36"/>
        <v>900</v>
      </c>
      <c r="F2113" s="10">
        <v>950</v>
      </c>
      <c r="G2113" s="10">
        <v>950</v>
      </c>
      <c r="H2113" s="10">
        <f t="shared" si="37"/>
        <v>975</v>
      </c>
    </row>
    <row r="2114" spans="1:8" x14ac:dyDescent="0.25">
      <c r="A2114" s="10">
        <v>2683</v>
      </c>
      <c r="B2114" s="10" t="s">
        <v>704</v>
      </c>
      <c r="C2114" s="8" t="s">
        <v>4214</v>
      </c>
      <c r="D2114" s="10">
        <v>111</v>
      </c>
      <c r="E2114" s="10">
        <f t="shared" si="36"/>
        <v>1000</v>
      </c>
      <c r="F2114" s="10">
        <v>1050</v>
      </c>
      <c r="G2114" s="10">
        <v>1050</v>
      </c>
      <c r="H2114" s="10">
        <f t="shared" si="37"/>
        <v>1075</v>
      </c>
    </row>
    <row r="2115" spans="1:8" x14ac:dyDescent="0.25">
      <c r="A2115" s="10">
        <v>2684</v>
      </c>
      <c r="B2115" s="10" t="s">
        <v>704</v>
      </c>
      <c r="C2115" s="8" t="s">
        <v>4215</v>
      </c>
      <c r="D2115" s="10">
        <v>111</v>
      </c>
      <c r="E2115" s="10">
        <f t="shared" si="36"/>
        <v>1200</v>
      </c>
      <c r="F2115" s="10">
        <v>1250</v>
      </c>
      <c r="G2115" s="10">
        <v>1250</v>
      </c>
      <c r="H2115" s="10">
        <f t="shared" si="37"/>
        <v>1275</v>
      </c>
    </row>
    <row r="2116" spans="1:8" x14ac:dyDescent="0.25">
      <c r="A2116" s="10">
        <v>2685</v>
      </c>
      <c r="B2116" s="10" t="s">
        <v>704</v>
      </c>
      <c r="C2116" s="8" t="s">
        <v>4216</v>
      </c>
      <c r="D2116" s="10">
        <v>111</v>
      </c>
      <c r="E2116" s="10">
        <f t="shared" si="36"/>
        <v>4330</v>
      </c>
      <c r="F2116" s="10">
        <f t="shared" ref="F2116:G2117" si="38">SUM(F2101-120)</f>
        <v>4380</v>
      </c>
      <c r="G2116" s="10">
        <f t="shared" si="38"/>
        <v>4380</v>
      </c>
      <c r="H2116" s="10">
        <f t="shared" si="37"/>
        <v>4405</v>
      </c>
    </row>
    <row r="2117" spans="1:8" x14ac:dyDescent="0.25">
      <c r="A2117" s="10">
        <v>2686</v>
      </c>
      <c r="B2117" s="10" t="s">
        <v>704</v>
      </c>
      <c r="C2117" s="8" t="s">
        <v>4217</v>
      </c>
      <c r="D2117" s="10">
        <v>111</v>
      </c>
      <c r="E2117" s="10">
        <f t="shared" si="36"/>
        <v>6330</v>
      </c>
      <c r="F2117" s="10">
        <f t="shared" si="38"/>
        <v>6380</v>
      </c>
      <c r="G2117" s="10">
        <f t="shared" si="38"/>
        <v>6380</v>
      </c>
      <c r="H2117" s="10">
        <f t="shared" si="37"/>
        <v>6405</v>
      </c>
    </row>
    <row r="2118" spans="1:8" x14ac:dyDescent="0.25">
      <c r="B2118" s="10"/>
      <c r="C2118" s="8"/>
      <c r="D2118" s="10"/>
      <c r="E2118" s="10"/>
      <c r="F2118" s="10"/>
      <c r="G2118" s="10"/>
      <c r="H2118" s="10"/>
    </row>
    <row r="2119" spans="1:8" x14ac:dyDescent="0.25">
      <c r="A2119" s="10">
        <v>2687</v>
      </c>
      <c r="B2119" s="10" t="s">
        <v>705</v>
      </c>
      <c r="C2119" s="8" t="s">
        <v>696</v>
      </c>
      <c r="D2119" s="10" t="s">
        <v>2794</v>
      </c>
      <c r="E2119" s="10">
        <v>500</v>
      </c>
      <c r="F2119" s="10">
        <v>550</v>
      </c>
      <c r="G2119" s="10">
        <v>600</v>
      </c>
      <c r="H2119" s="10">
        <f>SUM(G2119+25)</f>
        <v>625</v>
      </c>
    </row>
    <row r="2120" spans="1:8" x14ac:dyDescent="0.25">
      <c r="A2120" s="10">
        <v>2688</v>
      </c>
      <c r="B2120" s="10" t="s">
        <v>705</v>
      </c>
      <c r="C2120" s="8" t="s">
        <v>697</v>
      </c>
      <c r="D2120" s="10">
        <v>112</v>
      </c>
      <c r="E2120" s="10">
        <v>605</v>
      </c>
      <c r="F2120" s="10">
        <v>650</v>
      </c>
      <c r="G2120" s="10">
        <v>700</v>
      </c>
      <c r="H2120" s="10">
        <f t="shared" ref="H2120:H2125" si="39">SUM(G2120+25)</f>
        <v>725</v>
      </c>
    </row>
    <row r="2121" spans="1:8" x14ac:dyDescent="0.25">
      <c r="A2121" s="10">
        <v>2689</v>
      </c>
      <c r="B2121" s="10" t="s">
        <v>705</v>
      </c>
      <c r="C2121" s="8" t="s">
        <v>698</v>
      </c>
      <c r="D2121" s="10">
        <v>112</v>
      </c>
      <c r="E2121" s="10">
        <v>850</v>
      </c>
      <c r="F2121" s="10">
        <v>900</v>
      </c>
      <c r="G2121" s="10">
        <v>1150</v>
      </c>
      <c r="H2121" s="10">
        <f t="shared" si="39"/>
        <v>1175</v>
      </c>
    </row>
    <row r="2122" spans="1:8" x14ac:dyDescent="0.25">
      <c r="A2122" s="10">
        <v>2690</v>
      </c>
      <c r="B2122" s="10" t="s">
        <v>705</v>
      </c>
      <c r="C2122" s="8" t="s">
        <v>699</v>
      </c>
      <c r="D2122" s="10">
        <v>112</v>
      </c>
      <c r="E2122" s="10">
        <v>1080</v>
      </c>
      <c r="F2122" s="10">
        <v>1200</v>
      </c>
      <c r="G2122" s="10">
        <v>1450</v>
      </c>
      <c r="H2122" s="10">
        <f t="shared" si="39"/>
        <v>1475</v>
      </c>
    </row>
    <row r="2123" spans="1:8" x14ac:dyDescent="0.25">
      <c r="A2123" s="10">
        <v>2691</v>
      </c>
      <c r="B2123" s="10" t="s">
        <v>705</v>
      </c>
      <c r="C2123" s="8" t="s">
        <v>700</v>
      </c>
      <c r="D2123" s="10">
        <v>112</v>
      </c>
      <c r="E2123" s="10">
        <v>1400</v>
      </c>
      <c r="F2123" s="10">
        <v>1300</v>
      </c>
      <c r="G2123" s="10">
        <v>1750</v>
      </c>
      <c r="H2123" s="10">
        <f t="shared" si="39"/>
        <v>1775</v>
      </c>
    </row>
    <row r="2124" spans="1:8" x14ac:dyDescent="0.25">
      <c r="A2124" s="10">
        <v>2692</v>
      </c>
      <c r="B2124" s="10" t="s">
        <v>705</v>
      </c>
      <c r="C2124" s="8" t="s">
        <v>701</v>
      </c>
      <c r="D2124" s="10">
        <v>112</v>
      </c>
      <c r="E2124" s="10">
        <v>1700</v>
      </c>
      <c r="F2124" s="10">
        <v>1900</v>
      </c>
      <c r="G2124" s="10">
        <v>2350</v>
      </c>
      <c r="H2124" s="10">
        <f t="shared" si="39"/>
        <v>2375</v>
      </c>
    </row>
    <row r="2125" spans="1:8" x14ac:dyDescent="0.25">
      <c r="A2125" s="10">
        <v>2693</v>
      </c>
      <c r="B2125" s="10" t="s">
        <v>705</v>
      </c>
      <c r="C2125" s="8" t="s">
        <v>702</v>
      </c>
      <c r="D2125" s="10">
        <v>112</v>
      </c>
      <c r="E2125" s="10">
        <v>3750</v>
      </c>
      <c r="F2125" s="10">
        <v>3900</v>
      </c>
      <c r="G2125" s="10">
        <v>4750</v>
      </c>
      <c r="H2125" s="10">
        <f t="shared" si="39"/>
        <v>4775</v>
      </c>
    </row>
    <row r="2126" spans="1:8" x14ac:dyDescent="0.25">
      <c r="B2126" s="10"/>
      <c r="C2126" s="8"/>
      <c r="D2126" s="10"/>
      <c r="E2126" s="10"/>
      <c r="F2126" s="10"/>
      <c r="G2126" s="10"/>
      <c r="H2126" s="10"/>
    </row>
    <row r="2127" spans="1:8" x14ac:dyDescent="0.25">
      <c r="A2127" s="10">
        <v>2694</v>
      </c>
      <c r="B2127" s="10" t="s">
        <v>715</v>
      </c>
      <c r="C2127" s="8" t="s">
        <v>707</v>
      </c>
      <c r="D2127" s="10">
        <v>112</v>
      </c>
      <c r="E2127" s="10">
        <v>340</v>
      </c>
      <c r="F2127" s="10">
        <v>350</v>
      </c>
      <c r="G2127" s="10">
        <v>380</v>
      </c>
      <c r="H2127" s="10">
        <v>395</v>
      </c>
    </row>
    <row r="2128" spans="1:8" x14ac:dyDescent="0.25">
      <c r="A2128" s="10">
        <v>2695</v>
      </c>
      <c r="B2128" s="10" t="s">
        <v>715</v>
      </c>
      <c r="C2128" s="8" t="s">
        <v>708</v>
      </c>
      <c r="D2128" s="10">
        <v>112</v>
      </c>
      <c r="E2128" s="10">
        <v>340</v>
      </c>
      <c r="F2128" s="10">
        <v>350</v>
      </c>
      <c r="G2128" s="10">
        <v>380</v>
      </c>
      <c r="H2128" s="10">
        <v>395</v>
      </c>
    </row>
    <row r="2129" spans="1:8" x14ac:dyDescent="0.25">
      <c r="A2129" s="10">
        <v>2696</v>
      </c>
      <c r="B2129" s="10" t="s">
        <v>715</v>
      </c>
      <c r="C2129" s="8" t="s">
        <v>709</v>
      </c>
      <c r="D2129" s="10">
        <v>112</v>
      </c>
      <c r="E2129" s="10">
        <v>230</v>
      </c>
      <c r="F2129" s="10">
        <v>270</v>
      </c>
      <c r="G2129" s="10">
        <v>280</v>
      </c>
      <c r="H2129" s="10">
        <v>295</v>
      </c>
    </row>
    <row r="2130" spans="1:8" x14ac:dyDescent="0.25">
      <c r="A2130" s="10">
        <v>2697</v>
      </c>
      <c r="B2130" s="10" t="s">
        <v>715</v>
      </c>
      <c r="C2130" s="8" t="s">
        <v>710</v>
      </c>
      <c r="D2130" s="10">
        <v>112</v>
      </c>
      <c r="E2130" s="10">
        <v>620</v>
      </c>
      <c r="F2130" s="10">
        <v>650</v>
      </c>
      <c r="G2130" s="10">
        <v>670</v>
      </c>
      <c r="H2130" s="10">
        <v>675</v>
      </c>
    </row>
    <row r="2131" spans="1:8" x14ac:dyDescent="0.25">
      <c r="A2131" s="10">
        <v>2698</v>
      </c>
      <c r="B2131" s="10" t="s">
        <v>715</v>
      </c>
      <c r="C2131" s="8" t="s">
        <v>711</v>
      </c>
      <c r="D2131" s="10">
        <v>112</v>
      </c>
      <c r="E2131" s="10">
        <v>620</v>
      </c>
      <c r="F2131" s="10">
        <v>650</v>
      </c>
      <c r="G2131" s="10">
        <v>670</v>
      </c>
      <c r="H2131" s="10">
        <v>675</v>
      </c>
    </row>
    <row r="2132" spans="1:8" x14ac:dyDescent="0.25">
      <c r="A2132" s="10">
        <v>2699</v>
      </c>
      <c r="B2132" s="10" t="s">
        <v>714</v>
      </c>
      <c r="C2132" s="8" t="s">
        <v>712</v>
      </c>
      <c r="D2132" s="10">
        <v>112</v>
      </c>
      <c r="E2132" s="10">
        <v>810</v>
      </c>
      <c r="F2132" s="10">
        <v>850</v>
      </c>
      <c r="G2132" s="10">
        <v>880</v>
      </c>
      <c r="H2132" s="10">
        <v>895</v>
      </c>
    </row>
    <row r="2133" spans="1:8" x14ac:dyDescent="0.25">
      <c r="A2133" s="10">
        <v>2700</v>
      </c>
      <c r="B2133" s="10" t="s">
        <v>714</v>
      </c>
      <c r="C2133" s="8" t="s">
        <v>713</v>
      </c>
      <c r="D2133" s="10">
        <v>112</v>
      </c>
      <c r="E2133" s="10">
        <v>1080</v>
      </c>
      <c r="F2133" s="10">
        <v>1100</v>
      </c>
      <c r="G2133" s="10">
        <v>1180</v>
      </c>
      <c r="H2133" s="10">
        <v>1195</v>
      </c>
    </row>
    <row r="2134" spans="1:8" x14ac:dyDescent="0.25">
      <c r="A2134" s="10">
        <v>2701</v>
      </c>
      <c r="B2134" s="10" t="s">
        <v>715</v>
      </c>
      <c r="C2134" s="8" t="s">
        <v>716</v>
      </c>
      <c r="D2134" s="10">
        <v>112</v>
      </c>
      <c r="E2134" s="10">
        <v>620</v>
      </c>
      <c r="F2134" s="10">
        <v>650</v>
      </c>
      <c r="G2134" s="10">
        <v>675</v>
      </c>
      <c r="H2134" s="10">
        <v>675</v>
      </c>
    </row>
    <row r="2135" spans="1:8" x14ac:dyDescent="0.25">
      <c r="A2135" s="10">
        <v>2702</v>
      </c>
      <c r="B2135" s="10" t="s">
        <v>715</v>
      </c>
      <c r="C2135" s="8" t="s">
        <v>711</v>
      </c>
      <c r="D2135" s="10">
        <v>112</v>
      </c>
      <c r="E2135" s="10">
        <v>620</v>
      </c>
      <c r="F2135" s="10">
        <v>650</v>
      </c>
      <c r="G2135" s="10">
        <v>675</v>
      </c>
      <c r="H2135" s="10">
        <v>675</v>
      </c>
    </row>
    <row r="2136" spans="1:8" x14ac:dyDescent="0.25">
      <c r="B2136" s="10"/>
      <c r="C2136" s="8"/>
      <c r="D2136" s="10"/>
      <c r="E2136" s="10"/>
      <c r="F2136" s="10"/>
      <c r="G2136" s="10"/>
      <c r="H2136" s="10"/>
    </row>
    <row r="2137" spans="1:8" x14ac:dyDescent="0.25">
      <c r="A2137" s="10">
        <v>2703</v>
      </c>
      <c r="B2137" s="10" t="s">
        <v>715</v>
      </c>
      <c r="C2137" s="8" t="s">
        <v>2499</v>
      </c>
      <c r="D2137" s="10">
        <v>112</v>
      </c>
      <c r="E2137" s="10">
        <v>1080</v>
      </c>
      <c r="F2137" s="10">
        <v>1100</v>
      </c>
      <c r="G2137" s="10">
        <v>1180</v>
      </c>
      <c r="H2137" s="10">
        <v>1195</v>
      </c>
    </row>
    <row r="2138" spans="1:8" x14ac:dyDescent="0.25">
      <c r="A2138" s="10">
        <v>2704</v>
      </c>
      <c r="B2138" s="10" t="s">
        <v>715</v>
      </c>
      <c r="C2138" s="8" t="s">
        <v>2501</v>
      </c>
      <c r="D2138" s="10">
        <v>112</v>
      </c>
      <c r="E2138" s="10">
        <v>780</v>
      </c>
      <c r="F2138" s="10">
        <v>750</v>
      </c>
      <c r="G2138" s="10">
        <v>940</v>
      </c>
      <c r="H2138" s="10">
        <v>965</v>
      </c>
    </row>
    <row r="2139" spans="1:8" x14ac:dyDescent="0.25">
      <c r="A2139" s="10">
        <v>2705</v>
      </c>
      <c r="B2139" s="10" t="s">
        <v>715</v>
      </c>
      <c r="C2139" s="8" t="s">
        <v>2500</v>
      </c>
      <c r="D2139" s="10">
        <v>112</v>
      </c>
      <c r="E2139" s="10">
        <v>710</v>
      </c>
      <c r="F2139" s="10">
        <v>800</v>
      </c>
      <c r="G2139" s="10">
        <v>880</v>
      </c>
      <c r="H2139" s="10">
        <v>895</v>
      </c>
    </row>
    <row r="2140" spans="1:8" x14ac:dyDescent="0.25">
      <c r="A2140" s="10">
        <v>2706</v>
      </c>
      <c r="B2140" s="10" t="s">
        <v>715</v>
      </c>
      <c r="C2140" s="8" t="s">
        <v>2502</v>
      </c>
      <c r="D2140" s="10">
        <v>112</v>
      </c>
      <c r="E2140" s="10">
        <v>675</v>
      </c>
      <c r="F2140" s="10">
        <v>700</v>
      </c>
      <c r="G2140" s="10">
        <v>780</v>
      </c>
      <c r="H2140" s="10">
        <v>795</v>
      </c>
    </row>
    <row r="2141" spans="1:8" x14ac:dyDescent="0.25">
      <c r="B2141" s="10"/>
      <c r="C2141" s="8"/>
      <c r="D2141" s="10"/>
      <c r="E2141" s="10"/>
      <c r="F2141" s="10"/>
      <c r="G2141" s="10"/>
      <c r="H2141" s="10"/>
    </row>
    <row r="2142" spans="1:8" x14ac:dyDescent="0.25">
      <c r="A2142" s="10">
        <v>2707</v>
      </c>
      <c r="B2142" s="10" t="s">
        <v>2523</v>
      </c>
      <c r="C2142" s="8" t="s">
        <v>2503</v>
      </c>
      <c r="D2142" s="10" t="s">
        <v>2795</v>
      </c>
      <c r="E2142" s="10">
        <v>3.62</v>
      </c>
      <c r="F2142" s="10">
        <f>SUM(E2142+1)</f>
        <v>4.62</v>
      </c>
      <c r="G2142" s="10">
        <v>6</v>
      </c>
      <c r="H2142" s="10">
        <f>SUM(G2142+2)</f>
        <v>8</v>
      </c>
    </row>
    <row r="2143" spans="1:8" x14ac:dyDescent="0.25">
      <c r="A2143" s="10">
        <v>2708</v>
      </c>
      <c r="B2143" s="10" t="s">
        <v>2523</v>
      </c>
      <c r="C2143" s="8" t="s">
        <v>2504</v>
      </c>
      <c r="D2143" s="10">
        <v>113</v>
      </c>
      <c r="E2143" s="10">
        <v>5.36</v>
      </c>
      <c r="F2143" s="10">
        <f t="shared" ref="F2143:F2160" si="40">SUM(E2143+1)</f>
        <v>6.36</v>
      </c>
      <c r="G2143" s="10">
        <v>8</v>
      </c>
      <c r="H2143" s="10">
        <f t="shared" ref="H2143:H2160" si="41">SUM(G2143+2)</f>
        <v>10</v>
      </c>
    </row>
    <row r="2144" spans="1:8" x14ac:dyDescent="0.25">
      <c r="A2144" s="10">
        <v>2709</v>
      </c>
      <c r="B2144" s="10" t="s">
        <v>2523</v>
      </c>
      <c r="C2144" s="8" t="s">
        <v>2505</v>
      </c>
      <c r="D2144" s="10">
        <v>113</v>
      </c>
      <c r="E2144" s="10">
        <v>5.97</v>
      </c>
      <c r="F2144" s="10">
        <f t="shared" si="40"/>
        <v>6.97</v>
      </c>
      <c r="G2144" s="10">
        <v>10</v>
      </c>
      <c r="H2144" s="10">
        <f t="shared" si="41"/>
        <v>12</v>
      </c>
    </row>
    <row r="2145" spans="1:8" x14ac:dyDescent="0.25">
      <c r="A2145" s="10">
        <v>2710</v>
      </c>
      <c r="B2145" s="10" t="s">
        <v>2523</v>
      </c>
      <c r="C2145" s="8" t="s">
        <v>2506</v>
      </c>
      <c r="D2145" s="10">
        <v>113</v>
      </c>
      <c r="E2145" s="10">
        <v>7.23</v>
      </c>
      <c r="F2145" s="10">
        <f t="shared" si="40"/>
        <v>8.23</v>
      </c>
      <c r="G2145" s="10">
        <v>12</v>
      </c>
      <c r="H2145" s="10">
        <f t="shared" si="41"/>
        <v>14</v>
      </c>
    </row>
    <row r="2146" spans="1:8" x14ac:dyDescent="0.25">
      <c r="A2146" s="10">
        <v>2711</v>
      </c>
      <c r="B2146" s="10" t="s">
        <v>2523</v>
      </c>
      <c r="C2146" s="8" t="s">
        <v>2507</v>
      </c>
      <c r="D2146" s="10">
        <v>113</v>
      </c>
      <c r="E2146" s="10">
        <v>8.75</v>
      </c>
      <c r="F2146" s="10">
        <f t="shared" si="40"/>
        <v>9.75</v>
      </c>
      <c r="G2146" s="10">
        <v>14</v>
      </c>
      <c r="H2146" s="10">
        <f t="shared" si="41"/>
        <v>16</v>
      </c>
    </row>
    <row r="2147" spans="1:8" x14ac:dyDescent="0.25">
      <c r="A2147" s="10">
        <v>2712</v>
      </c>
      <c r="B2147" s="10" t="s">
        <v>2523</v>
      </c>
      <c r="C2147" s="8" t="s">
        <v>2508</v>
      </c>
      <c r="D2147" s="10">
        <v>113</v>
      </c>
      <c r="E2147" s="10">
        <v>12.39</v>
      </c>
      <c r="F2147" s="10">
        <f t="shared" si="40"/>
        <v>13.39</v>
      </c>
      <c r="G2147" s="10">
        <v>20</v>
      </c>
      <c r="H2147" s="10">
        <f t="shared" si="41"/>
        <v>22</v>
      </c>
    </row>
    <row r="2148" spans="1:8" x14ac:dyDescent="0.25">
      <c r="A2148" s="10">
        <v>2713</v>
      </c>
      <c r="B2148" s="10" t="s">
        <v>2523</v>
      </c>
      <c r="C2148" s="8" t="s">
        <v>2509</v>
      </c>
      <c r="D2148" s="10">
        <v>113</v>
      </c>
      <c r="E2148" s="10">
        <v>16.13</v>
      </c>
      <c r="F2148" s="10">
        <f t="shared" si="40"/>
        <v>17.13</v>
      </c>
      <c r="G2148" s="10">
        <v>22</v>
      </c>
      <c r="H2148" s="10">
        <f t="shared" si="41"/>
        <v>24</v>
      </c>
    </row>
    <row r="2149" spans="1:8" x14ac:dyDescent="0.25">
      <c r="A2149" s="10">
        <v>2714</v>
      </c>
      <c r="B2149" s="10" t="s">
        <v>2523</v>
      </c>
      <c r="C2149" s="8" t="s">
        <v>2510</v>
      </c>
      <c r="D2149" s="10">
        <v>113</v>
      </c>
      <c r="E2149" s="10">
        <v>17.809999999999999</v>
      </c>
      <c r="F2149" s="10">
        <f t="shared" si="40"/>
        <v>18.809999999999999</v>
      </c>
      <c r="G2149" s="10">
        <v>27.5</v>
      </c>
      <c r="H2149" s="10">
        <f t="shared" si="41"/>
        <v>29.5</v>
      </c>
    </row>
    <row r="2150" spans="1:8" x14ac:dyDescent="0.25">
      <c r="A2150" s="10">
        <v>2715</v>
      </c>
      <c r="B2150" s="10" t="s">
        <v>2523</v>
      </c>
      <c r="C2150" s="8" t="s">
        <v>2511</v>
      </c>
      <c r="D2150" s="10">
        <v>113</v>
      </c>
      <c r="E2150" s="10">
        <v>22.88</v>
      </c>
      <c r="F2150" s="10">
        <f t="shared" si="40"/>
        <v>23.88</v>
      </c>
      <c r="G2150" s="10">
        <v>30</v>
      </c>
      <c r="H2150" s="10">
        <f t="shared" si="41"/>
        <v>32</v>
      </c>
    </row>
    <row r="2151" spans="1:8" x14ac:dyDescent="0.25">
      <c r="A2151" s="10">
        <v>2716</v>
      </c>
      <c r="B2151" s="10" t="s">
        <v>2523</v>
      </c>
      <c r="C2151" s="8" t="s">
        <v>2512</v>
      </c>
      <c r="D2151" s="10">
        <v>113</v>
      </c>
      <c r="E2151" s="10">
        <v>25.37</v>
      </c>
      <c r="F2151" s="10">
        <f t="shared" si="40"/>
        <v>26.37</v>
      </c>
      <c r="G2151" s="10">
        <v>35</v>
      </c>
      <c r="H2151" s="10">
        <f t="shared" si="41"/>
        <v>37</v>
      </c>
    </row>
    <row r="2152" spans="1:8" x14ac:dyDescent="0.25">
      <c r="A2152" s="10">
        <v>2717</v>
      </c>
      <c r="B2152" s="10" t="s">
        <v>2523</v>
      </c>
      <c r="C2152" s="8" t="s">
        <v>2513</v>
      </c>
      <c r="D2152" s="10">
        <v>113</v>
      </c>
      <c r="E2152" s="10">
        <v>33.76</v>
      </c>
      <c r="F2152" s="10">
        <f t="shared" si="40"/>
        <v>34.76</v>
      </c>
      <c r="G2152" s="10">
        <v>40</v>
      </c>
      <c r="H2152" s="10">
        <f t="shared" si="41"/>
        <v>42</v>
      </c>
    </row>
    <row r="2153" spans="1:8" x14ac:dyDescent="0.25">
      <c r="A2153" s="10">
        <v>2718</v>
      </c>
      <c r="B2153" s="10" t="s">
        <v>2523</v>
      </c>
      <c r="C2153" s="8" t="s">
        <v>2514</v>
      </c>
      <c r="D2153" s="10">
        <v>113</v>
      </c>
      <c r="E2153" s="10">
        <v>31.15</v>
      </c>
      <c r="F2153" s="10">
        <f t="shared" si="40"/>
        <v>32.15</v>
      </c>
      <c r="G2153" s="10">
        <v>45</v>
      </c>
      <c r="H2153" s="10">
        <f t="shared" si="41"/>
        <v>47</v>
      </c>
    </row>
    <row r="2154" spans="1:8" x14ac:dyDescent="0.25">
      <c r="A2154" s="10">
        <v>2719</v>
      </c>
      <c r="B2154" s="10" t="s">
        <v>2523</v>
      </c>
      <c r="C2154" s="8" t="s">
        <v>2515</v>
      </c>
      <c r="D2154" s="10">
        <v>113</v>
      </c>
      <c r="E2154" s="10">
        <v>32.07</v>
      </c>
      <c r="F2154" s="10">
        <f t="shared" si="40"/>
        <v>33.07</v>
      </c>
      <c r="G2154" s="10">
        <v>45</v>
      </c>
      <c r="H2154" s="10">
        <f t="shared" si="41"/>
        <v>47</v>
      </c>
    </row>
    <row r="2155" spans="1:8" x14ac:dyDescent="0.25">
      <c r="A2155" s="10">
        <v>2720</v>
      </c>
      <c r="B2155" s="10" t="s">
        <v>2523</v>
      </c>
      <c r="C2155" s="8" t="s">
        <v>2516</v>
      </c>
      <c r="D2155" s="10">
        <v>113</v>
      </c>
      <c r="E2155" s="10">
        <v>38.75</v>
      </c>
      <c r="F2155" s="10">
        <f t="shared" si="40"/>
        <v>39.75</v>
      </c>
      <c r="G2155" s="10">
        <v>55</v>
      </c>
      <c r="H2155" s="10">
        <f t="shared" si="41"/>
        <v>57</v>
      </c>
    </row>
    <row r="2156" spans="1:8" x14ac:dyDescent="0.25">
      <c r="A2156" s="10">
        <v>2721</v>
      </c>
      <c r="B2156" s="10" t="s">
        <v>2523</v>
      </c>
      <c r="C2156" s="8" t="s">
        <v>2517</v>
      </c>
      <c r="D2156" s="10">
        <v>113</v>
      </c>
      <c r="E2156" s="10">
        <v>47.91</v>
      </c>
      <c r="F2156" s="10">
        <f t="shared" si="40"/>
        <v>48.91</v>
      </c>
      <c r="G2156" s="10">
        <v>60</v>
      </c>
      <c r="H2156" s="10">
        <f t="shared" si="41"/>
        <v>62</v>
      </c>
    </row>
    <row r="2157" spans="1:8" x14ac:dyDescent="0.25">
      <c r="B2157" s="10"/>
      <c r="C2157" s="8"/>
      <c r="D2157" s="10"/>
      <c r="E2157" s="10"/>
      <c r="F2157" s="10"/>
      <c r="G2157" s="10"/>
      <c r="H2157" s="10"/>
    </row>
    <row r="2158" spans="1:8" x14ac:dyDescent="0.25">
      <c r="A2158" s="10">
        <v>2722</v>
      </c>
      <c r="B2158" s="10" t="s">
        <v>2523</v>
      </c>
      <c r="C2158" s="8" t="s">
        <v>2518</v>
      </c>
      <c r="D2158" s="10">
        <v>113</v>
      </c>
      <c r="E2158" s="10">
        <v>3.99</v>
      </c>
      <c r="F2158" s="10">
        <f t="shared" si="40"/>
        <v>4.99</v>
      </c>
      <c r="G2158" s="10">
        <v>10</v>
      </c>
      <c r="H2158" s="10">
        <f t="shared" si="41"/>
        <v>12</v>
      </c>
    </row>
    <row r="2159" spans="1:8" x14ac:dyDescent="0.25">
      <c r="A2159" s="10">
        <v>2723</v>
      </c>
      <c r="B2159" s="10" t="s">
        <v>2523</v>
      </c>
      <c r="C2159" s="8" t="s">
        <v>2519</v>
      </c>
      <c r="D2159" s="10">
        <v>113</v>
      </c>
      <c r="E2159" s="10">
        <v>7.95</v>
      </c>
      <c r="F2159" s="10">
        <f t="shared" si="40"/>
        <v>8.9499999999999993</v>
      </c>
      <c r="G2159" s="10">
        <v>14</v>
      </c>
      <c r="H2159" s="10">
        <f t="shared" si="41"/>
        <v>16</v>
      </c>
    </row>
    <row r="2160" spans="1:8" x14ac:dyDescent="0.25">
      <c r="A2160" s="10">
        <v>2724</v>
      </c>
      <c r="B2160" s="10" t="s">
        <v>2523</v>
      </c>
      <c r="C2160" s="8" t="s">
        <v>2520</v>
      </c>
      <c r="D2160" s="10">
        <v>113</v>
      </c>
      <c r="E2160" s="10">
        <v>11.76</v>
      </c>
      <c r="F2160" s="10">
        <f t="shared" si="40"/>
        <v>12.76</v>
      </c>
      <c r="G2160" s="10">
        <v>20</v>
      </c>
      <c r="H2160" s="10">
        <f t="shared" si="41"/>
        <v>22</v>
      </c>
    </row>
    <row r="2161" spans="1:8" x14ac:dyDescent="0.25">
      <c r="A2161" s="10">
        <v>2725</v>
      </c>
      <c r="B2161" s="10" t="s">
        <v>2523</v>
      </c>
      <c r="C2161" s="8" t="s">
        <v>2521</v>
      </c>
      <c r="D2161" s="10">
        <v>113</v>
      </c>
      <c r="E2161" s="10">
        <v>3.5</v>
      </c>
      <c r="F2161" s="10">
        <v>5</v>
      </c>
      <c r="G2161" s="10">
        <v>7.5</v>
      </c>
      <c r="H2161" s="10">
        <v>8</v>
      </c>
    </row>
    <row r="2162" spans="1:8" x14ac:dyDescent="0.25">
      <c r="A2162" s="10">
        <v>2726</v>
      </c>
      <c r="B2162" s="10" t="s">
        <v>2523</v>
      </c>
      <c r="C2162" s="8" t="s">
        <v>2522</v>
      </c>
      <c r="D2162" s="10">
        <v>113</v>
      </c>
      <c r="E2162" s="10">
        <v>5</v>
      </c>
      <c r="F2162" s="10">
        <v>7</v>
      </c>
      <c r="G2162" s="10">
        <v>10</v>
      </c>
      <c r="H2162" s="10">
        <v>12</v>
      </c>
    </row>
    <row r="2163" spans="1:8" x14ac:dyDescent="0.25">
      <c r="B2163" s="10"/>
      <c r="C2163" s="8"/>
      <c r="D2163" s="10"/>
      <c r="E2163" s="10"/>
      <c r="F2163" s="10"/>
      <c r="G2163" s="10"/>
      <c r="H2163" s="10"/>
    </row>
    <row r="2164" spans="1:8" x14ac:dyDescent="0.25">
      <c r="A2164" s="10">
        <v>2727</v>
      </c>
      <c r="B2164" s="10" t="s">
        <v>2792</v>
      </c>
      <c r="C2164" s="8" t="s">
        <v>4218</v>
      </c>
      <c r="D2164" s="10">
        <v>111</v>
      </c>
      <c r="E2164" s="10">
        <v>190</v>
      </c>
      <c r="F2164" s="10">
        <v>230</v>
      </c>
      <c r="G2164" s="10">
        <v>250</v>
      </c>
      <c r="H2164" s="10">
        <v>275</v>
      </c>
    </row>
    <row r="2165" spans="1:8" x14ac:dyDescent="0.25">
      <c r="A2165" s="10">
        <v>2728</v>
      </c>
      <c r="B2165" s="10" t="s">
        <v>2792</v>
      </c>
      <c r="C2165" s="8" t="s">
        <v>4219</v>
      </c>
      <c r="D2165" s="10">
        <v>111</v>
      </c>
      <c r="E2165" s="10">
        <v>270</v>
      </c>
      <c r="F2165" s="10">
        <v>330</v>
      </c>
      <c r="G2165" s="10">
        <v>350</v>
      </c>
      <c r="H2165" s="10">
        <v>375</v>
      </c>
    </row>
    <row r="2166" spans="1:8" x14ac:dyDescent="0.25">
      <c r="A2166" s="10">
        <v>2729</v>
      </c>
      <c r="B2166" s="10" t="s">
        <v>2792</v>
      </c>
      <c r="C2166" s="8" t="s">
        <v>4220</v>
      </c>
      <c r="D2166" s="10">
        <v>111</v>
      </c>
      <c r="E2166" s="10">
        <v>180</v>
      </c>
      <c r="F2166" s="10">
        <v>230</v>
      </c>
      <c r="G2166" s="10">
        <v>250</v>
      </c>
      <c r="H2166" s="10">
        <v>275</v>
      </c>
    </row>
    <row r="2167" spans="1:8" x14ac:dyDescent="0.25">
      <c r="B2167" s="10"/>
      <c r="C2167" s="8"/>
      <c r="D2167" s="10"/>
      <c r="E2167" s="10"/>
      <c r="F2167" s="10"/>
      <c r="G2167" s="10"/>
      <c r="H2167" s="10"/>
    </row>
    <row r="2168" spans="1:8" x14ac:dyDescent="0.25">
      <c r="A2168" s="10">
        <v>2730</v>
      </c>
      <c r="B2168" s="10" t="s">
        <v>2790</v>
      </c>
      <c r="C2168" s="8" t="s">
        <v>2768</v>
      </c>
      <c r="D2168" s="10" t="s">
        <v>2796</v>
      </c>
      <c r="E2168" s="10">
        <v>62.5</v>
      </c>
      <c r="F2168" s="10">
        <f>SUM(E2168+10)</f>
        <v>72.5</v>
      </c>
      <c r="G2168" s="10">
        <v>90</v>
      </c>
      <c r="H2168" s="10">
        <f>SUM(G2168+45)</f>
        <v>135</v>
      </c>
    </row>
    <row r="2169" spans="1:8" x14ac:dyDescent="0.25">
      <c r="A2169" s="10">
        <v>2731</v>
      </c>
      <c r="B2169" s="10" t="s">
        <v>2790</v>
      </c>
      <c r="C2169" s="8" t="s">
        <v>2769</v>
      </c>
      <c r="D2169" s="10">
        <v>114</v>
      </c>
      <c r="E2169" s="10">
        <v>94.8</v>
      </c>
      <c r="F2169" s="10">
        <f t="shared" ref="F2169:F2195" si="42">SUM(E2169+10)</f>
        <v>104.8</v>
      </c>
      <c r="G2169" s="10">
        <v>150</v>
      </c>
      <c r="H2169" s="10">
        <f t="shared" ref="H2169:H2185" si="43">SUM(G2169+45)</f>
        <v>195</v>
      </c>
    </row>
    <row r="2170" spans="1:8" x14ac:dyDescent="0.25">
      <c r="A2170" s="10">
        <v>2732</v>
      </c>
      <c r="B2170" s="10" t="s">
        <v>2790</v>
      </c>
      <c r="C2170" s="8" t="s">
        <v>2770</v>
      </c>
      <c r="D2170" s="10">
        <v>114</v>
      </c>
      <c r="E2170" s="10">
        <v>127</v>
      </c>
      <c r="F2170" s="10">
        <f t="shared" si="42"/>
        <v>137</v>
      </c>
      <c r="G2170" s="10">
        <v>180</v>
      </c>
      <c r="H2170" s="10">
        <f t="shared" si="43"/>
        <v>225</v>
      </c>
    </row>
    <row r="2171" spans="1:8" x14ac:dyDescent="0.25">
      <c r="A2171" s="10">
        <v>2733</v>
      </c>
      <c r="B2171" s="10" t="s">
        <v>2790</v>
      </c>
      <c r="C2171" s="8" t="s">
        <v>2771</v>
      </c>
      <c r="D2171" s="10">
        <v>114</v>
      </c>
      <c r="E2171" s="10">
        <v>135</v>
      </c>
      <c r="F2171" s="10">
        <f t="shared" si="42"/>
        <v>145</v>
      </c>
      <c r="G2171" s="10">
        <v>190</v>
      </c>
      <c r="H2171" s="10">
        <f t="shared" si="43"/>
        <v>235</v>
      </c>
    </row>
    <row r="2172" spans="1:8" x14ac:dyDescent="0.25">
      <c r="A2172" s="10">
        <v>2734</v>
      </c>
      <c r="B2172" s="10" t="s">
        <v>2790</v>
      </c>
      <c r="C2172" s="8" t="s">
        <v>2772</v>
      </c>
      <c r="D2172" s="10">
        <v>114</v>
      </c>
      <c r="E2172" s="10">
        <v>165.25</v>
      </c>
      <c r="F2172" s="10">
        <f t="shared" si="42"/>
        <v>175.25</v>
      </c>
      <c r="G2172" s="10">
        <v>230</v>
      </c>
      <c r="H2172" s="10">
        <f t="shared" si="43"/>
        <v>275</v>
      </c>
    </row>
    <row r="2173" spans="1:8" x14ac:dyDescent="0.25">
      <c r="A2173" s="10">
        <v>2735</v>
      </c>
      <c r="B2173" s="10" t="s">
        <v>2790</v>
      </c>
      <c r="C2173" s="8" t="s">
        <v>2773</v>
      </c>
      <c r="D2173" s="10">
        <v>114</v>
      </c>
      <c r="E2173" s="10">
        <v>193</v>
      </c>
      <c r="F2173" s="10">
        <f t="shared" si="42"/>
        <v>203</v>
      </c>
      <c r="G2173" s="10">
        <v>260</v>
      </c>
      <c r="H2173" s="10">
        <f t="shared" si="43"/>
        <v>305</v>
      </c>
    </row>
    <row r="2174" spans="1:8" x14ac:dyDescent="0.25">
      <c r="A2174" s="10">
        <v>2736</v>
      </c>
      <c r="B2174" s="10" t="s">
        <v>2790</v>
      </c>
      <c r="C2174" s="8" t="s">
        <v>2774</v>
      </c>
      <c r="D2174" s="10">
        <v>114</v>
      </c>
      <c r="E2174" s="10">
        <v>307.5</v>
      </c>
      <c r="F2174" s="10">
        <f t="shared" si="42"/>
        <v>317.5</v>
      </c>
      <c r="G2174" s="10">
        <v>360</v>
      </c>
      <c r="H2174" s="10">
        <f t="shared" si="43"/>
        <v>405</v>
      </c>
    </row>
    <row r="2175" spans="1:8" x14ac:dyDescent="0.25">
      <c r="A2175" s="10">
        <v>2737</v>
      </c>
      <c r="B2175" s="10" t="s">
        <v>2790</v>
      </c>
      <c r="C2175" s="8" t="s">
        <v>2775</v>
      </c>
      <c r="D2175" s="10">
        <v>114</v>
      </c>
      <c r="E2175" s="10">
        <v>325.25</v>
      </c>
      <c r="F2175" s="10">
        <f t="shared" si="42"/>
        <v>335.25</v>
      </c>
      <c r="G2175" s="10">
        <v>380</v>
      </c>
      <c r="H2175" s="10">
        <f t="shared" si="43"/>
        <v>425</v>
      </c>
    </row>
    <row r="2176" spans="1:8" x14ac:dyDescent="0.25">
      <c r="A2176" s="10">
        <v>2738</v>
      </c>
      <c r="B2176" s="10" t="s">
        <v>2790</v>
      </c>
      <c r="C2176" s="8" t="s">
        <v>2776</v>
      </c>
      <c r="D2176" s="10">
        <v>114</v>
      </c>
      <c r="E2176" s="10">
        <v>375</v>
      </c>
      <c r="F2176" s="10">
        <f t="shared" si="42"/>
        <v>385</v>
      </c>
      <c r="G2176" s="10">
        <v>450</v>
      </c>
      <c r="H2176" s="10">
        <f t="shared" si="43"/>
        <v>495</v>
      </c>
    </row>
    <row r="2177" spans="1:8" x14ac:dyDescent="0.25">
      <c r="A2177" s="10">
        <v>2739</v>
      </c>
      <c r="B2177" s="10" t="s">
        <v>2790</v>
      </c>
      <c r="C2177" s="8" t="s">
        <v>2777</v>
      </c>
      <c r="D2177" s="10">
        <v>114</v>
      </c>
      <c r="E2177" s="10">
        <v>490.5</v>
      </c>
      <c r="F2177" s="10">
        <f t="shared" si="42"/>
        <v>500.5</v>
      </c>
      <c r="G2177" s="10">
        <v>580</v>
      </c>
      <c r="H2177" s="10">
        <f t="shared" si="43"/>
        <v>625</v>
      </c>
    </row>
    <row r="2178" spans="1:8" x14ac:dyDescent="0.25">
      <c r="A2178" s="10">
        <v>2740</v>
      </c>
      <c r="B2178" s="10" t="s">
        <v>2790</v>
      </c>
      <c r="C2178" s="8" t="s">
        <v>2764</v>
      </c>
      <c r="D2178" s="10">
        <v>114</v>
      </c>
      <c r="E2178" s="10">
        <v>165</v>
      </c>
      <c r="F2178" s="10">
        <f t="shared" si="42"/>
        <v>175</v>
      </c>
      <c r="G2178" s="10">
        <v>250</v>
      </c>
      <c r="H2178" s="10">
        <f t="shared" si="43"/>
        <v>295</v>
      </c>
    </row>
    <row r="2179" spans="1:8" x14ac:dyDescent="0.25">
      <c r="A2179" s="10">
        <v>2741</v>
      </c>
      <c r="B2179" s="10" t="s">
        <v>2790</v>
      </c>
      <c r="C2179" s="8" t="s">
        <v>2765</v>
      </c>
      <c r="D2179" s="10">
        <v>114</v>
      </c>
      <c r="E2179" s="10">
        <v>165</v>
      </c>
      <c r="F2179" s="10">
        <f t="shared" si="42"/>
        <v>175</v>
      </c>
      <c r="G2179" s="10">
        <v>250</v>
      </c>
      <c r="H2179" s="10">
        <f t="shared" si="43"/>
        <v>295</v>
      </c>
    </row>
    <row r="2180" spans="1:8" x14ac:dyDescent="0.25">
      <c r="A2180" s="10">
        <v>2742</v>
      </c>
      <c r="B2180" s="10" t="s">
        <v>2790</v>
      </c>
      <c r="C2180" s="8" t="s">
        <v>2766</v>
      </c>
      <c r="D2180" s="10">
        <v>114</v>
      </c>
      <c r="E2180" s="10">
        <v>240</v>
      </c>
      <c r="F2180" s="10">
        <f t="shared" si="42"/>
        <v>250</v>
      </c>
      <c r="G2180" s="10">
        <v>280</v>
      </c>
      <c r="H2180" s="10">
        <f t="shared" si="43"/>
        <v>325</v>
      </c>
    </row>
    <row r="2181" spans="1:8" x14ac:dyDescent="0.25">
      <c r="A2181" s="10">
        <v>2743</v>
      </c>
      <c r="B2181" s="10" t="s">
        <v>2790</v>
      </c>
      <c r="C2181" s="8" t="s">
        <v>2767</v>
      </c>
      <c r="D2181" s="10">
        <v>114</v>
      </c>
      <c r="E2181" s="10"/>
      <c r="F2181" s="10"/>
      <c r="G2181" s="10"/>
      <c r="H2181" s="10"/>
    </row>
    <row r="2182" spans="1:8" x14ac:dyDescent="0.25">
      <c r="A2182" s="10">
        <v>2744</v>
      </c>
      <c r="B2182" s="10" t="s">
        <v>2790</v>
      </c>
      <c r="C2182" s="8" t="s">
        <v>2782</v>
      </c>
      <c r="D2182" s="10">
        <v>114</v>
      </c>
      <c r="E2182" s="10">
        <v>100</v>
      </c>
      <c r="F2182" s="10">
        <f t="shared" si="42"/>
        <v>110</v>
      </c>
      <c r="G2182" s="10">
        <v>130</v>
      </c>
      <c r="H2182" s="10">
        <f t="shared" si="43"/>
        <v>175</v>
      </c>
    </row>
    <row r="2183" spans="1:8" x14ac:dyDescent="0.25">
      <c r="A2183" s="10">
        <v>2745</v>
      </c>
      <c r="B2183" s="10" t="s">
        <v>2790</v>
      </c>
      <c r="C2183" s="8" t="s">
        <v>2783</v>
      </c>
      <c r="D2183" s="10">
        <v>114</v>
      </c>
      <c r="E2183" s="10">
        <v>110</v>
      </c>
      <c r="F2183" s="10">
        <f t="shared" si="42"/>
        <v>120</v>
      </c>
      <c r="G2183" s="10">
        <v>160</v>
      </c>
      <c r="H2183" s="10">
        <f t="shared" si="43"/>
        <v>205</v>
      </c>
    </row>
    <row r="2184" spans="1:8" x14ac:dyDescent="0.25">
      <c r="A2184" s="10">
        <v>2746</v>
      </c>
      <c r="B2184" s="10" t="s">
        <v>2790</v>
      </c>
      <c r="C2184" s="8" t="s">
        <v>2784</v>
      </c>
      <c r="D2184" s="10">
        <v>114</v>
      </c>
      <c r="E2184" s="10">
        <v>125</v>
      </c>
      <c r="F2184" s="10">
        <f t="shared" si="42"/>
        <v>135</v>
      </c>
      <c r="G2184" s="10">
        <v>200</v>
      </c>
      <c r="H2184" s="10">
        <f t="shared" si="43"/>
        <v>245</v>
      </c>
    </row>
    <row r="2185" spans="1:8" x14ac:dyDescent="0.25">
      <c r="A2185" s="10">
        <v>2747</v>
      </c>
      <c r="B2185" s="10" t="s">
        <v>2790</v>
      </c>
      <c r="C2185" s="8" t="s">
        <v>2785</v>
      </c>
      <c r="D2185" s="10">
        <v>114</v>
      </c>
      <c r="E2185" s="10">
        <v>140</v>
      </c>
      <c r="F2185" s="10">
        <f t="shared" si="42"/>
        <v>150</v>
      </c>
      <c r="G2185" s="10">
        <v>240</v>
      </c>
      <c r="H2185" s="10">
        <f t="shared" si="43"/>
        <v>285</v>
      </c>
    </row>
    <row r="2186" spans="1:8" x14ac:dyDescent="0.25">
      <c r="B2186" s="10"/>
      <c r="C2186" s="8"/>
      <c r="D2186" s="10"/>
      <c r="E2186" s="10"/>
      <c r="F2186" s="10"/>
      <c r="G2186" s="10"/>
      <c r="H2186" s="10"/>
    </row>
    <row r="2187" spans="1:8" x14ac:dyDescent="0.25">
      <c r="A2187" s="10">
        <v>2748</v>
      </c>
      <c r="B2187" s="10" t="s">
        <v>2790</v>
      </c>
      <c r="C2187" s="8" t="s">
        <v>2778</v>
      </c>
      <c r="D2187" s="10">
        <v>114</v>
      </c>
      <c r="E2187" s="10">
        <v>146</v>
      </c>
      <c r="F2187" s="10">
        <f t="shared" si="42"/>
        <v>156</v>
      </c>
      <c r="G2187" s="10">
        <v>200</v>
      </c>
      <c r="H2187" s="10">
        <f>SUM(G2187+25)</f>
        <v>225</v>
      </c>
    </row>
    <row r="2188" spans="1:8" x14ac:dyDescent="0.25">
      <c r="A2188" s="10">
        <v>2749</v>
      </c>
      <c r="B2188" s="10" t="s">
        <v>2790</v>
      </c>
      <c r="C2188" s="8" t="s">
        <v>2779</v>
      </c>
      <c r="D2188" s="10">
        <v>114</v>
      </c>
      <c r="E2188" s="10">
        <v>186.58</v>
      </c>
      <c r="F2188" s="10">
        <f t="shared" si="42"/>
        <v>196.58</v>
      </c>
      <c r="G2188" s="10">
        <v>260</v>
      </c>
      <c r="H2188" s="10">
        <f t="shared" ref="H2188:H2190" si="44">SUM(G2188+25)</f>
        <v>285</v>
      </c>
    </row>
    <row r="2189" spans="1:8" x14ac:dyDescent="0.25">
      <c r="A2189" s="10">
        <v>2750</v>
      </c>
      <c r="B2189" s="10" t="s">
        <v>2790</v>
      </c>
      <c r="C2189" s="8" t="s">
        <v>2780</v>
      </c>
      <c r="D2189" s="10">
        <v>114</v>
      </c>
      <c r="E2189" s="10">
        <v>208.25</v>
      </c>
      <c r="F2189" s="10">
        <f t="shared" si="42"/>
        <v>218.25</v>
      </c>
      <c r="G2189" s="10">
        <v>280</v>
      </c>
      <c r="H2189" s="10">
        <f t="shared" si="44"/>
        <v>305</v>
      </c>
    </row>
    <row r="2190" spans="1:8" x14ac:dyDescent="0.25">
      <c r="A2190" s="10">
        <v>2751</v>
      </c>
      <c r="B2190" s="10" t="s">
        <v>2790</v>
      </c>
      <c r="C2190" s="8" t="s">
        <v>2781</v>
      </c>
      <c r="D2190" s="10">
        <v>114</v>
      </c>
      <c r="E2190" s="10">
        <v>325.2</v>
      </c>
      <c r="F2190" s="10">
        <f t="shared" si="42"/>
        <v>335.2</v>
      </c>
      <c r="G2190" s="10">
        <v>390</v>
      </c>
      <c r="H2190" s="10">
        <f t="shared" si="44"/>
        <v>415</v>
      </c>
    </row>
    <row r="2191" spans="1:8" x14ac:dyDescent="0.25">
      <c r="B2191" s="10"/>
      <c r="C2191" s="8"/>
      <c r="D2191" s="10"/>
      <c r="E2191" s="10"/>
      <c r="F2191" s="10"/>
      <c r="G2191" s="10"/>
      <c r="H2191" s="10"/>
    </row>
    <row r="2192" spans="1:8" x14ac:dyDescent="0.25">
      <c r="A2192" s="10">
        <v>2752</v>
      </c>
      <c r="B2192" s="10" t="s">
        <v>2791</v>
      </c>
      <c r="C2192" s="8" t="s">
        <v>2786</v>
      </c>
      <c r="D2192" s="10">
        <v>115</v>
      </c>
      <c r="E2192" s="10">
        <v>80</v>
      </c>
      <c r="F2192" s="10">
        <f t="shared" si="42"/>
        <v>90</v>
      </c>
      <c r="G2192" s="10">
        <v>130</v>
      </c>
      <c r="H2192" s="10">
        <v>135</v>
      </c>
    </row>
    <row r="2193" spans="1:8" x14ac:dyDescent="0.25">
      <c r="A2193" s="10">
        <v>2753</v>
      </c>
      <c r="B2193" s="10" t="s">
        <v>2791</v>
      </c>
      <c r="C2193" s="8" t="s">
        <v>2787</v>
      </c>
      <c r="D2193" s="10">
        <v>115</v>
      </c>
      <c r="E2193" s="10">
        <v>90</v>
      </c>
      <c r="F2193" s="10">
        <f t="shared" si="42"/>
        <v>100</v>
      </c>
      <c r="G2193" s="10">
        <v>180</v>
      </c>
      <c r="H2193" s="10">
        <v>195</v>
      </c>
    </row>
    <row r="2194" spans="1:8" x14ac:dyDescent="0.25">
      <c r="A2194" s="10">
        <v>2754</v>
      </c>
      <c r="B2194" s="10" t="s">
        <v>2791</v>
      </c>
      <c r="C2194" s="8" t="s">
        <v>2788</v>
      </c>
      <c r="D2194" s="10">
        <v>115</v>
      </c>
      <c r="E2194" s="10">
        <v>100</v>
      </c>
      <c r="F2194" s="10">
        <f t="shared" si="42"/>
        <v>110</v>
      </c>
      <c r="G2194" s="10">
        <v>220</v>
      </c>
      <c r="H2194" s="10">
        <v>225</v>
      </c>
    </row>
    <row r="2195" spans="1:8" x14ac:dyDescent="0.25">
      <c r="A2195" s="10">
        <v>2755</v>
      </c>
      <c r="B2195" s="10" t="s">
        <v>2791</v>
      </c>
      <c r="C2195" s="8" t="s">
        <v>2789</v>
      </c>
      <c r="D2195" s="10">
        <v>115</v>
      </c>
      <c r="E2195" s="10">
        <v>350</v>
      </c>
      <c r="F2195" s="10">
        <f t="shared" si="42"/>
        <v>360</v>
      </c>
      <c r="G2195" s="10">
        <v>580</v>
      </c>
      <c r="H2195" s="10">
        <v>595</v>
      </c>
    </row>
    <row r="2197" spans="1:8" x14ac:dyDescent="0.25">
      <c r="A2197" s="10">
        <v>2756</v>
      </c>
      <c r="B2197" t="s">
        <v>743</v>
      </c>
      <c r="C2197" s="2" t="s">
        <v>744</v>
      </c>
      <c r="D2197" s="1">
        <v>109</v>
      </c>
      <c r="E2197">
        <v>343</v>
      </c>
      <c r="F2197">
        <f>SUM(E2197+30)</f>
        <v>373</v>
      </c>
      <c r="G2197">
        <v>400</v>
      </c>
      <c r="H2197">
        <f>SUM(G2197+15)</f>
        <v>415</v>
      </c>
    </row>
    <row r="2198" spans="1:8" x14ac:dyDescent="0.25">
      <c r="A2198" s="10">
        <v>2757</v>
      </c>
      <c r="B2198" t="s">
        <v>743</v>
      </c>
      <c r="C2198" s="2" t="s">
        <v>745</v>
      </c>
      <c r="D2198" s="1">
        <v>109</v>
      </c>
      <c r="E2198">
        <v>27</v>
      </c>
      <c r="F2198">
        <v>40</v>
      </c>
      <c r="G2198">
        <v>60</v>
      </c>
      <c r="H2198">
        <f t="shared" ref="H2198:H2222" si="45">SUM(G2198+15)</f>
        <v>75</v>
      </c>
    </row>
    <row r="2199" spans="1:8" x14ac:dyDescent="0.25">
      <c r="A2199" s="10">
        <v>2758</v>
      </c>
      <c r="B2199" t="s">
        <v>743</v>
      </c>
      <c r="C2199" s="2" t="s">
        <v>746</v>
      </c>
      <c r="D2199" s="1">
        <v>109</v>
      </c>
      <c r="E2199">
        <v>775</v>
      </c>
      <c r="F2199">
        <f t="shared" ref="F2199:F2222" si="46">SUM(E2199+30)</f>
        <v>805</v>
      </c>
      <c r="G2199">
        <v>925</v>
      </c>
      <c r="H2199">
        <f t="shared" si="45"/>
        <v>940</v>
      </c>
    </row>
    <row r="2200" spans="1:8" x14ac:dyDescent="0.25">
      <c r="A2200" s="10">
        <v>2759</v>
      </c>
      <c r="B2200" t="s">
        <v>743</v>
      </c>
      <c r="C2200" s="2" t="s">
        <v>747</v>
      </c>
      <c r="D2200" s="1">
        <v>109</v>
      </c>
      <c r="E2200">
        <v>39</v>
      </c>
      <c r="F2200">
        <v>45</v>
      </c>
      <c r="G2200">
        <v>70</v>
      </c>
      <c r="H2200">
        <f t="shared" si="45"/>
        <v>85</v>
      </c>
    </row>
    <row r="2201" spans="1:8" x14ac:dyDescent="0.25">
      <c r="A2201" s="10">
        <v>2760</v>
      </c>
      <c r="B2201" t="s">
        <v>743</v>
      </c>
      <c r="C2201" s="2" t="s">
        <v>748</v>
      </c>
      <c r="D2201" s="1">
        <v>109</v>
      </c>
      <c r="E2201">
        <v>775</v>
      </c>
      <c r="F2201">
        <f>SUM(E2201+30)</f>
        <v>805</v>
      </c>
      <c r="G2201">
        <v>925</v>
      </c>
      <c r="H2201">
        <f t="shared" si="45"/>
        <v>940</v>
      </c>
    </row>
    <row r="2202" spans="1:8" x14ac:dyDescent="0.25">
      <c r="A2202" s="10">
        <v>2761</v>
      </c>
      <c r="B2202" t="s">
        <v>743</v>
      </c>
      <c r="C2202" s="2" t="s">
        <v>749</v>
      </c>
      <c r="D2202" s="1">
        <v>109</v>
      </c>
      <c r="E2202">
        <v>43</v>
      </c>
      <c r="F2202">
        <v>60</v>
      </c>
      <c r="G2202">
        <v>80</v>
      </c>
      <c r="H2202">
        <f t="shared" si="45"/>
        <v>95</v>
      </c>
    </row>
    <row r="2203" spans="1:8" x14ac:dyDescent="0.25">
      <c r="A2203" s="10">
        <v>2762</v>
      </c>
      <c r="B2203" t="s">
        <v>743</v>
      </c>
      <c r="C2203" s="2" t="s">
        <v>750</v>
      </c>
      <c r="D2203" s="1">
        <v>109</v>
      </c>
      <c r="E2203">
        <v>583</v>
      </c>
      <c r="F2203">
        <f t="shared" si="46"/>
        <v>613</v>
      </c>
      <c r="G2203">
        <v>780</v>
      </c>
      <c r="H2203">
        <f t="shared" si="45"/>
        <v>795</v>
      </c>
    </row>
    <row r="2204" spans="1:8" x14ac:dyDescent="0.25">
      <c r="A2204" s="10">
        <v>2763</v>
      </c>
      <c r="B2204" t="s">
        <v>743</v>
      </c>
      <c r="C2204" s="2" t="s">
        <v>751</v>
      </c>
      <c r="D2204" s="1">
        <v>109</v>
      </c>
      <c r="E2204">
        <v>48.5</v>
      </c>
      <c r="F2204">
        <v>60</v>
      </c>
      <c r="G2204">
        <v>80</v>
      </c>
      <c r="H2204">
        <f t="shared" si="45"/>
        <v>95</v>
      </c>
    </row>
    <row r="2205" spans="1:8" x14ac:dyDescent="0.25">
      <c r="A2205" s="10">
        <v>2764</v>
      </c>
      <c r="B2205" t="s">
        <v>743</v>
      </c>
      <c r="C2205" s="2" t="s">
        <v>752</v>
      </c>
      <c r="D2205" s="1">
        <v>109</v>
      </c>
      <c r="E2205">
        <v>1282</v>
      </c>
      <c r="F2205">
        <f t="shared" si="46"/>
        <v>1312</v>
      </c>
      <c r="G2205">
        <v>1560</v>
      </c>
      <c r="H2205">
        <f t="shared" si="45"/>
        <v>1575</v>
      </c>
    </row>
    <row r="2206" spans="1:8" x14ac:dyDescent="0.25">
      <c r="A2206" s="10">
        <v>2765</v>
      </c>
      <c r="B2206" t="s">
        <v>743</v>
      </c>
      <c r="C2206" s="2" t="s">
        <v>753</v>
      </c>
      <c r="D2206" s="1">
        <v>109</v>
      </c>
      <c r="E2206">
        <v>71.22</v>
      </c>
      <c r="F2206">
        <f t="shared" si="46"/>
        <v>101.22</v>
      </c>
      <c r="G2206">
        <v>140</v>
      </c>
      <c r="H2206">
        <f t="shared" si="45"/>
        <v>155</v>
      </c>
    </row>
    <row r="2207" spans="1:8" x14ac:dyDescent="0.25">
      <c r="A2207" s="10">
        <v>2766</v>
      </c>
      <c r="B2207" t="s">
        <v>743</v>
      </c>
      <c r="C2207" s="2" t="s">
        <v>754</v>
      </c>
      <c r="D2207" s="1">
        <v>109</v>
      </c>
      <c r="E2207">
        <v>774</v>
      </c>
      <c r="F2207">
        <f t="shared" si="46"/>
        <v>804</v>
      </c>
      <c r="G2207">
        <v>980</v>
      </c>
      <c r="H2207">
        <f t="shared" si="45"/>
        <v>995</v>
      </c>
    </row>
    <row r="2208" spans="1:8" x14ac:dyDescent="0.25">
      <c r="A2208" s="10">
        <v>2767</v>
      </c>
      <c r="B2208" t="s">
        <v>743</v>
      </c>
      <c r="C2208" s="2" t="s">
        <v>755</v>
      </c>
      <c r="D2208" s="1">
        <v>109</v>
      </c>
      <c r="E2208">
        <v>64.5</v>
      </c>
      <c r="F2208">
        <f t="shared" si="46"/>
        <v>94.5</v>
      </c>
      <c r="G2208">
        <v>130</v>
      </c>
      <c r="H2208">
        <f t="shared" si="45"/>
        <v>145</v>
      </c>
    </row>
    <row r="2209" spans="1:8" x14ac:dyDescent="0.25">
      <c r="A2209" s="10">
        <v>2768</v>
      </c>
      <c r="B2209" t="s">
        <v>743</v>
      </c>
      <c r="C2209" s="2" t="s">
        <v>756</v>
      </c>
      <c r="D2209" s="1">
        <v>109</v>
      </c>
      <c r="E2209">
        <v>1700</v>
      </c>
      <c r="F2209">
        <f t="shared" si="46"/>
        <v>1730</v>
      </c>
      <c r="G2209">
        <v>2250</v>
      </c>
      <c r="H2209">
        <f t="shared" si="45"/>
        <v>2265</v>
      </c>
    </row>
    <row r="2210" spans="1:8" x14ac:dyDescent="0.25">
      <c r="A2210" s="10">
        <v>2769</v>
      </c>
      <c r="B2210" t="s">
        <v>743</v>
      </c>
      <c r="C2210" s="2" t="s">
        <v>757</v>
      </c>
      <c r="D2210" s="1">
        <v>109</v>
      </c>
      <c r="E2210">
        <v>94.5</v>
      </c>
      <c r="F2210">
        <f t="shared" si="46"/>
        <v>124.5</v>
      </c>
      <c r="G2210">
        <v>180</v>
      </c>
      <c r="H2210">
        <f t="shared" si="45"/>
        <v>195</v>
      </c>
    </row>
    <row r="2211" spans="1:8" x14ac:dyDescent="0.25">
      <c r="A2211" s="10">
        <v>2770</v>
      </c>
      <c r="B2211" t="s">
        <v>743</v>
      </c>
      <c r="C2211" s="2" t="s">
        <v>758</v>
      </c>
      <c r="D2211" s="1">
        <v>109</v>
      </c>
      <c r="E2211">
        <v>1650</v>
      </c>
      <c r="F2211">
        <f t="shared" si="46"/>
        <v>1680</v>
      </c>
      <c r="G2211">
        <v>2550</v>
      </c>
      <c r="H2211">
        <f t="shared" si="45"/>
        <v>2565</v>
      </c>
    </row>
    <row r="2212" spans="1:8" x14ac:dyDescent="0.25">
      <c r="A2212" s="10">
        <v>2771</v>
      </c>
      <c r="B2212" t="s">
        <v>743</v>
      </c>
      <c r="C2212" s="2" t="s">
        <v>759</v>
      </c>
      <c r="D2212" s="1">
        <v>109</v>
      </c>
      <c r="E2212">
        <v>137.5</v>
      </c>
      <c r="F2212">
        <f t="shared" si="46"/>
        <v>167.5</v>
      </c>
      <c r="G2212">
        <v>220</v>
      </c>
      <c r="H2212">
        <f t="shared" si="45"/>
        <v>235</v>
      </c>
    </row>
    <row r="2213" spans="1:8" x14ac:dyDescent="0.25">
      <c r="A2213" s="10">
        <v>2772</v>
      </c>
      <c r="B2213" t="s">
        <v>743</v>
      </c>
      <c r="C2213" s="2" t="s">
        <v>760</v>
      </c>
      <c r="D2213" s="1">
        <v>109</v>
      </c>
      <c r="E2213">
        <v>2965</v>
      </c>
      <c r="F2213">
        <f t="shared" si="46"/>
        <v>2995</v>
      </c>
      <c r="G2213">
        <v>3750</v>
      </c>
      <c r="H2213">
        <f t="shared" si="45"/>
        <v>3765</v>
      </c>
    </row>
    <row r="2214" spans="1:8" x14ac:dyDescent="0.25">
      <c r="A2214" s="10">
        <v>2773</v>
      </c>
      <c r="B2214" t="s">
        <v>743</v>
      </c>
      <c r="C2214" s="2" t="s">
        <v>761</v>
      </c>
      <c r="D2214" s="1">
        <v>109</v>
      </c>
      <c r="E2214">
        <v>247</v>
      </c>
      <c r="F2214">
        <f t="shared" si="46"/>
        <v>277</v>
      </c>
      <c r="G2214">
        <v>300</v>
      </c>
      <c r="H2214">
        <f t="shared" si="45"/>
        <v>315</v>
      </c>
    </row>
    <row r="2215" spans="1:8" x14ac:dyDescent="0.25">
      <c r="A2215" s="10">
        <v>2774</v>
      </c>
      <c r="B2215" t="s">
        <v>743</v>
      </c>
      <c r="C2215" s="2" t="s">
        <v>762</v>
      </c>
      <c r="D2215" s="1">
        <v>109</v>
      </c>
      <c r="E2215">
        <v>5000</v>
      </c>
      <c r="F2215">
        <f t="shared" si="46"/>
        <v>5030</v>
      </c>
      <c r="G2215">
        <v>6250</v>
      </c>
      <c r="H2215">
        <f t="shared" si="45"/>
        <v>6265</v>
      </c>
    </row>
    <row r="2216" spans="1:8" x14ac:dyDescent="0.25">
      <c r="A2216" s="10">
        <v>2775</v>
      </c>
      <c r="B2216" t="s">
        <v>743</v>
      </c>
      <c r="C2216" s="2" t="s">
        <v>763</v>
      </c>
      <c r="D2216" s="1">
        <v>109</v>
      </c>
      <c r="E2216">
        <v>277.7</v>
      </c>
      <c r="F2216">
        <f t="shared" si="46"/>
        <v>307.7</v>
      </c>
      <c r="G2216">
        <v>450</v>
      </c>
      <c r="H2216">
        <f t="shared" si="45"/>
        <v>465</v>
      </c>
    </row>
    <row r="2217" spans="1:8" x14ac:dyDescent="0.25">
      <c r="A2217" s="10">
        <v>2776</v>
      </c>
      <c r="B2217" t="s">
        <v>743</v>
      </c>
      <c r="C2217" s="2" t="s">
        <v>764</v>
      </c>
      <c r="D2217" s="1">
        <v>109</v>
      </c>
      <c r="E2217">
        <v>2275</v>
      </c>
      <c r="F2217">
        <f t="shared" si="46"/>
        <v>2305</v>
      </c>
      <c r="G2217">
        <v>2975</v>
      </c>
      <c r="H2217">
        <f t="shared" si="45"/>
        <v>2990</v>
      </c>
    </row>
    <row r="2218" spans="1:8" x14ac:dyDescent="0.25">
      <c r="A2218" s="10">
        <v>2777</v>
      </c>
      <c r="B2218" t="s">
        <v>743</v>
      </c>
      <c r="C2218" s="2" t="s">
        <v>765</v>
      </c>
      <c r="D2218" s="1">
        <v>109</v>
      </c>
      <c r="E2218">
        <v>189.58</v>
      </c>
      <c r="F2218">
        <f t="shared" si="46"/>
        <v>219.58</v>
      </c>
      <c r="G2218">
        <v>250</v>
      </c>
      <c r="H2218">
        <f t="shared" si="45"/>
        <v>265</v>
      </c>
    </row>
    <row r="2219" spans="1:8" x14ac:dyDescent="0.25">
      <c r="A2219" s="10">
        <v>2778</v>
      </c>
      <c r="B2219" t="s">
        <v>743</v>
      </c>
      <c r="C2219" s="2" t="s">
        <v>766</v>
      </c>
      <c r="D2219" s="1">
        <v>109</v>
      </c>
      <c r="E2219">
        <v>3600</v>
      </c>
      <c r="F2219">
        <f t="shared" si="46"/>
        <v>3630</v>
      </c>
      <c r="G2219">
        <v>4750</v>
      </c>
      <c r="H2219">
        <f t="shared" si="45"/>
        <v>4765</v>
      </c>
    </row>
    <row r="2220" spans="1:8" x14ac:dyDescent="0.25">
      <c r="A2220" s="10">
        <v>2779</v>
      </c>
      <c r="B2220" t="s">
        <v>743</v>
      </c>
      <c r="C2220" s="2" t="s">
        <v>767</v>
      </c>
      <c r="D2220" s="1">
        <v>109</v>
      </c>
      <c r="E2220">
        <v>200</v>
      </c>
      <c r="F2220">
        <f t="shared" si="46"/>
        <v>230</v>
      </c>
      <c r="G2220">
        <v>300</v>
      </c>
      <c r="H2220">
        <f t="shared" si="45"/>
        <v>315</v>
      </c>
    </row>
    <row r="2221" spans="1:8" x14ac:dyDescent="0.25">
      <c r="A2221" s="10">
        <v>2780</v>
      </c>
      <c r="B2221" t="s">
        <v>743</v>
      </c>
      <c r="C2221" s="2" t="s">
        <v>768</v>
      </c>
      <c r="D2221" s="1">
        <v>109</v>
      </c>
      <c r="E2221">
        <v>6500</v>
      </c>
      <c r="F2221">
        <f t="shared" si="46"/>
        <v>6530</v>
      </c>
      <c r="G2221">
        <v>7800</v>
      </c>
      <c r="H2221">
        <f t="shared" si="45"/>
        <v>7815</v>
      </c>
    </row>
    <row r="2222" spans="1:8" x14ac:dyDescent="0.25">
      <c r="A2222" s="10">
        <v>2781</v>
      </c>
      <c r="B2222" t="s">
        <v>743</v>
      </c>
      <c r="C2222" s="2" t="s">
        <v>769</v>
      </c>
      <c r="D2222" s="1">
        <v>109</v>
      </c>
      <c r="E2222">
        <v>361</v>
      </c>
      <c r="F2222">
        <f t="shared" si="46"/>
        <v>391</v>
      </c>
      <c r="G2222">
        <v>500</v>
      </c>
      <c r="H2222">
        <f t="shared" si="45"/>
        <v>515</v>
      </c>
    </row>
    <row r="2223" spans="1:8" x14ac:dyDescent="0.25">
      <c r="C2223" s="2"/>
    </row>
    <row r="2224" spans="1:8" x14ac:dyDescent="0.25">
      <c r="A2224" s="10">
        <v>2782</v>
      </c>
      <c r="B2224" t="s">
        <v>792</v>
      </c>
      <c r="C2224" s="2" t="s">
        <v>793</v>
      </c>
      <c r="D2224" s="1">
        <v>110</v>
      </c>
      <c r="E2224">
        <v>5800</v>
      </c>
      <c r="F2224">
        <v>6000</v>
      </c>
      <c r="G2224">
        <v>6800</v>
      </c>
      <c r="H2224">
        <v>6950</v>
      </c>
    </row>
    <row r="2225" spans="1:8" x14ac:dyDescent="0.25">
      <c r="A2225" s="10">
        <v>2783</v>
      </c>
      <c r="B2225" t="s">
        <v>792</v>
      </c>
      <c r="C2225" s="2" t="s">
        <v>794</v>
      </c>
      <c r="D2225" s="1">
        <v>110</v>
      </c>
    </row>
    <row r="2226" spans="1:8" x14ac:dyDescent="0.25">
      <c r="A2226" s="10">
        <v>2784</v>
      </c>
      <c r="B2226" t="s">
        <v>792</v>
      </c>
      <c r="C2226" s="2" t="s">
        <v>770</v>
      </c>
      <c r="D2226" s="1">
        <v>110</v>
      </c>
      <c r="E2226">
        <v>700</v>
      </c>
      <c r="F2226">
        <f>SUM(E2226+20)</f>
        <v>720</v>
      </c>
      <c r="G2226">
        <v>880</v>
      </c>
      <c r="H2226">
        <f>SUM(G2226+25)</f>
        <v>905</v>
      </c>
    </row>
    <row r="2227" spans="1:8" x14ac:dyDescent="0.25">
      <c r="A2227" s="10">
        <v>2785</v>
      </c>
      <c r="B2227" t="s">
        <v>792</v>
      </c>
      <c r="C2227" s="2" t="s">
        <v>771</v>
      </c>
      <c r="D2227" s="1">
        <v>110</v>
      </c>
      <c r="E2227">
        <v>54</v>
      </c>
      <c r="F2227">
        <f t="shared" ref="F2227:F2247" si="47">SUM(E2227+20)</f>
        <v>74</v>
      </c>
      <c r="G2227">
        <v>100</v>
      </c>
      <c r="H2227">
        <f t="shared" ref="H2227:H2247" si="48">SUM(G2227+25)</f>
        <v>125</v>
      </c>
    </row>
    <row r="2228" spans="1:8" x14ac:dyDescent="0.25">
      <c r="A2228" s="10">
        <v>2786</v>
      </c>
      <c r="B2228" t="s">
        <v>792</v>
      </c>
      <c r="C2228" s="2" t="s">
        <v>772</v>
      </c>
      <c r="D2228" s="1">
        <v>110</v>
      </c>
      <c r="E2228">
        <v>1700</v>
      </c>
      <c r="F2228">
        <f t="shared" si="47"/>
        <v>1720</v>
      </c>
      <c r="G2228">
        <v>1950</v>
      </c>
      <c r="H2228">
        <f t="shared" si="48"/>
        <v>1975</v>
      </c>
    </row>
    <row r="2229" spans="1:8" x14ac:dyDescent="0.25">
      <c r="A2229" s="10">
        <v>2787</v>
      </c>
      <c r="B2229" t="s">
        <v>792</v>
      </c>
      <c r="C2229" s="2" t="s">
        <v>773</v>
      </c>
      <c r="D2229" s="1">
        <v>110</v>
      </c>
      <c r="E2229">
        <v>90</v>
      </c>
      <c r="F2229">
        <f t="shared" si="47"/>
        <v>110</v>
      </c>
      <c r="G2229">
        <v>180</v>
      </c>
      <c r="H2229">
        <f t="shared" si="48"/>
        <v>205</v>
      </c>
    </row>
    <row r="2230" spans="1:8" x14ac:dyDescent="0.25">
      <c r="A2230" s="10">
        <v>2788</v>
      </c>
      <c r="B2230" t="s">
        <v>792</v>
      </c>
      <c r="C2230" s="2" t="s">
        <v>774</v>
      </c>
      <c r="D2230" s="1">
        <v>110</v>
      </c>
      <c r="E2230">
        <v>2565</v>
      </c>
      <c r="F2230">
        <f t="shared" si="47"/>
        <v>2585</v>
      </c>
      <c r="G2230">
        <v>2980</v>
      </c>
      <c r="H2230">
        <f t="shared" si="48"/>
        <v>3005</v>
      </c>
    </row>
    <row r="2231" spans="1:8" x14ac:dyDescent="0.25">
      <c r="A2231" s="10">
        <v>2789</v>
      </c>
      <c r="B2231" t="s">
        <v>792</v>
      </c>
      <c r="C2231" s="2" t="s">
        <v>775</v>
      </c>
      <c r="D2231" s="1">
        <v>110</v>
      </c>
      <c r="E2231">
        <v>135</v>
      </c>
      <c r="F2231">
        <f t="shared" si="47"/>
        <v>155</v>
      </c>
      <c r="H2231">
        <f t="shared" si="48"/>
        <v>25</v>
      </c>
    </row>
    <row r="2232" spans="1:8" x14ac:dyDescent="0.25">
      <c r="A2232" s="10">
        <v>2790</v>
      </c>
      <c r="B2232" t="s">
        <v>792</v>
      </c>
      <c r="C2232" s="2" t="s">
        <v>776</v>
      </c>
      <c r="D2232" s="1">
        <v>110</v>
      </c>
      <c r="E2232">
        <v>2256</v>
      </c>
      <c r="F2232">
        <f t="shared" si="47"/>
        <v>2276</v>
      </c>
      <c r="G2232">
        <v>2960</v>
      </c>
      <c r="H2232">
        <f t="shared" si="48"/>
        <v>2985</v>
      </c>
    </row>
    <row r="2233" spans="1:8" x14ac:dyDescent="0.25">
      <c r="A2233" s="10">
        <v>2791</v>
      </c>
      <c r="B2233" t="s">
        <v>792</v>
      </c>
      <c r="C2233" s="2" t="s">
        <v>777</v>
      </c>
      <c r="D2233" s="1">
        <v>110</v>
      </c>
      <c r="E2233">
        <v>119</v>
      </c>
      <c r="F2233">
        <f t="shared" si="47"/>
        <v>139</v>
      </c>
      <c r="G2233">
        <v>250</v>
      </c>
      <c r="H2233">
        <f t="shared" si="48"/>
        <v>275</v>
      </c>
    </row>
    <row r="2234" spans="1:8" x14ac:dyDescent="0.25">
      <c r="A2234" s="10">
        <v>2792</v>
      </c>
      <c r="B2234" t="s">
        <v>792</v>
      </c>
      <c r="C2234" s="2" t="s">
        <v>778</v>
      </c>
      <c r="D2234" s="1">
        <v>110</v>
      </c>
      <c r="E2234">
        <v>3150</v>
      </c>
      <c r="F2234">
        <f t="shared" si="47"/>
        <v>3170</v>
      </c>
      <c r="G2234">
        <v>3980</v>
      </c>
      <c r="H2234">
        <f t="shared" si="48"/>
        <v>4005</v>
      </c>
    </row>
    <row r="2235" spans="1:8" x14ac:dyDescent="0.25">
      <c r="A2235" s="10">
        <v>2793</v>
      </c>
      <c r="B2235" t="s">
        <v>792</v>
      </c>
      <c r="C2235" s="2" t="s">
        <v>779</v>
      </c>
      <c r="D2235" s="1">
        <v>110</v>
      </c>
      <c r="E2235">
        <v>166</v>
      </c>
      <c r="F2235">
        <f t="shared" si="47"/>
        <v>186</v>
      </c>
      <c r="G2235">
        <v>300</v>
      </c>
      <c r="H2235">
        <f t="shared" si="48"/>
        <v>325</v>
      </c>
    </row>
    <row r="2236" spans="1:8" x14ac:dyDescent="0.25">
      <c r="A2236" s="10">
        <v>2794</v>
      </c>
      <c r="B2236" t="s">
        <v>792</v>
      </c>
      <c r="C2236" s="2" t="s">
        <v>783</v>
      </c>
      <c r="D2236" s="1">
        <v>110</v>
      </c>
      <c r="E2236">
        <v>4100</v>
      </c>
      <c r="F2236">
        <f t="shared" si="47"/>
        <v>4120</v>
      </c>
      <c r="G2236">
        <v>4950</v>
      </c>
      <c r="H2236">
        <f t="shared" si="48"/>
        <v>4975</v>
      </c>
    </row>
    <row r="2237" spans="1:8" x14ac:dyDescent="0.25">
      <c r="A2237" s="10">
        <v>2795</v>
      </c>
      <c r="B2237" t="s">
        <v>792</v>
      </c>
      <c r="C2237" s="2" t="s">
        <v>782</v>
      </c>
      <c r="D2237" s="1">
        <v>110</v>
      </c>
      <c r="E2237">
        <v>216</v>
      </c>
      <c r="F2237">
        <f t="shared" si="47"/>
        <v>236</v>
      </c>
      <c r="G2237">
        <v>300</v>
      </c>
      <c r="H2237">
        <f t="shared" si="48"/>
        <v>325</v>
      </c>
    </row>
    <row r="2238" spans="1:8" x14ac:dyDescent="0.25">
      <c r="A2238" s="10">
        <v>2796</v>
      </c>
      <c r="B2238" t="s">
        <v>792</v>
      </c>
      <c r="C2238" s="2" t="s">
        <v>786</v>
      </c>
      <c r="D2238" s="1">
        <v>110</v>
      </c>
      <c r="E2238">
        <v>4800</v>
      </c>
      <c r="F2238">
        <f t="shared" si="47"/>
        <v>4820</v>
      </c>
      <c r="G2238">
        <v>5450</v>
      </c>
      <c r="H2238">
        <f t="shared" si="48"/>
        <v>5475</v>
      </c>
    </row>
    <row r="2239" spans="1:8" x14ac:dyDescent="0.25">
      <c r="A2239" s="10">
        <v>2797</v>
      </c>
      <c r="B2239" t="s">
        <v>792</v>
      </c>
      <c r="C2239" s="2" t="s">
        <v>787</v>
      </c>
      <c r="D2239" s="1">
        <v>110</v>
      </c>
      <c r="E2239">
        <v>253</v>
      </c>
      <c r="F2239">
        <f t="shared" si="47"/>
        <v>273</v>
      </c>
      <c r="G2239">
        <v>350</v>
      </c>
      <c r="H2239">
        <f t="shared" si="48"/>
        <v>375</v>
      </c>
    </row>
    <row r="2240" spans="1:8" x14ac:dyDescent="0.25">
      <c r="A2240" s="10">
        <v>2798</v>
      </c>
      <c r="B2240" t="s">
        <v>792</v>
      </c>
      <c r="C2240" s="2" t="s">
        <v>780</v>
      </c>
      <c r="D2240" s="1">
        <v>110</v>
      </c>
      <c r="E2240">
        <v>2100</v>
      </c>
      <c r="F2240">
        <f t="shared" si="47"/>
        <v>2120</v>
      </c>
      <c r="G2240">
        <v>2950</v>
      </c>
      <c r="H2240">
        <f t="shared" si="48"/>
        <v>2975</v>
      </c>
    </row>
    <row r="2241" spans="1:8" x14ac:dyDescent="0.25">
      <c r="A2241" s="10">
        <v>2799</v>
      </c>
      <c r="B2241" t="s">
        <v>792</v>
      </c>
      <c r="C2241" s="2" t="s">
        <v>781</v>
      </c>
      <c r="D2241" s="1">
        <v>110</v>
      </c>
      <c r="E2241">
        <v>110</v>
      </c>
      <c r="F2241">
        <f t="shared" si="47"/>
        <v>130</v>
      </c>
      <c r="H2241">
        <f t="shared" si="48"/>
        <v>25</v>
      </c>
    </row>
    <row r="2242" spans="1:8" x14ac:dyDescent="0.25">
      <c r="A2242" s="10">
        <v>2800</v>
      </c>
      <c r="B2242" t="s">
        <v>792</v>
      </c>
      <c r="C2242" s="2" t="s">
        <v>784</v>
      </c>
      <c r="D2242" s="1">
        <v>110</v>
      </c>
      <c r="E2242">
        <v>4300</v>
      </c>
      <c r="F2242">
        <f t="shared" si="47"/>
        <v>4320</v>
      </c>
      <c r="G2242">
        <v>4960</v>
      </c>
      <c r="H2242">
        <f t="shared" si="48"/>
        <v>4985</v>
      </c>
    </row>
    <row r="2243" spans="1:8" x14ac:dyDescent="0.25">
      <c r="A2243" s="10">
        <v>2801</v>
      </c>
      <c r="B2243" t="s">
        <v>792</v>
      </c>
      <c r="C2243" s="2" t="s">
        <v>785</v>
      </c>
      <c r="D2243" s="1">
        <v>110</v>
      </c>
      <c r="E2243">
        <v>226</v>
      </c>
      <c r="F2243">
        <f t="shared" si="47"/>
        <v>246</v>
      </c>
      <c r="G2243">
        <v>380</v>
      </c>
      <c r="H2243">
        <f t="shared" si="48"/>
        <v>405</v>
      </c>
    </row>
    <row r="2244" spans="1:8" x14ac:dyDescent="0.25">
      <c r="A2244" s="10">
        <v>2802</v>
      </c>
      <c r="B2244" t="s">
        <v>792</v>
      </c>
      <c r="C2244" s="2" t="s">
        <v>788</v>
      </c>
      <c r="D2244" s="1">
        <v>110</v>
      </c>
      <c r="E2244">
        <v>6500</v>
      </c>
      <c r="F2244">
        <f t="shared" si="47"/>
        <v>6520</v>
      </c>
      <c r="G2244">
        <v>6900</v>
      </c>
      <c r="H2244">
        <f t="shared" si="48"/>
        <v>6925</v>
      </c>
    </row>
    <row r="2245" spans="1:8" x14ac:dyDescent="0.25">
      <c r="A2245" s="10">
        <v>2803</v>
      </c>
      <c r="B2245" t="s">
        <v>792</v>
      </c>
      <c r="C2245" s="2" t="s">
        <v>789</v>
      </c>
      <c r="D2245" s="1">
        <v>110</v>
      </c>
      <c r="E2245">
        <v>361</v>
      </c>
      <c r="F2245">
        <f t="shared" si="47"/>
        <v>381</v>
      </c>
      <c r="G2245">
        <v>400</v>
      </c>
      <c r="H2245">
        <f t="shared" si="48"/>
        <v>425</v>
      </c>
    </row>
    <row r="2246" spans="1:8" x14ac:dyDescent="0.25">
      <c r="A2246" s="10">
        <v>2804</v>
      </c>
      <c r="B2246" t="s">
        <v>792</v>
      </c>
      <c r="C2246" s="2" t="s">
        <v>790</v>
      </c>
      <c r="D2246" s="1">
        <v>110</v>
      </c>
      <c r="E2246">
        <v>6600</v>
      </c>
      <c r="F2246">
        <f t="shared" si="47"/>
        <v>6620</v>
      </c>
      <c r="G2246">
        <v>7750</v>
      </c>
      <c r="H2246">
        <f t="shared" si="48"/>
        <v>7775</v>
      </c>
    </row>
    <row r="2247" spans="1:8" x14ac:dyDescent="0.25">
      <c r="A2247" s="10">
        <v>2805</v>
      </c>
      <c r="B2247" t="s">
        <v>792</v>
      </c>
      <c r="C2247" s="2" t="s">
        <v>791</v>
      </c>
      <c r="D2247" s="1">
        <v>110</v>
      </c>
      <c r="E2247">
        <v>364</v>
      </c>
      <c r="F2247">
        <f t="shared" si="47"/>
        <v>384</v>
      </c>
      <c r="G2247">
        <v>450</v>
      </c>
      <c r="H2247">
        <f t="shared" si="48"/>
        <v>475</v>
      </c>
    </row>
    <row r="2248" spans="1:8" x14ac:dyDescent="0.25">
      <c r="A2248" s="11"/>
    </row>
    <row r="2249" spans="1:8" x14ac:dyDescent="0.25">
      <c r="A2249" s="10">
        <v>2806</v>
      </c>
      <c r="B2249" t="s">
        <v>2117</v>
      </c>
      <c r="C2249" s="2" t="s">
        <v>2841</v>
      </c>
      <c r="D2249" s="1">
        <v>84</v>
      </c>
      <c r="E2249">
        <v>7214</v>
      </c>
      <c r="F2249">
        <v>8000</v>
      </c>
      <c r="G2249">
        <v>8500</v>
      </c>
      <c r="H2249">
        <v>12790</v>
      </c>
    </row>
    <row r="2250" spans="1:8" x14ac:dyDescent="0.25">
      <c r="A2250" s="10">
        <v>2807</v>
      </c>
      <c r="B2250" t="s">
        <v>2117</v>
      </c>
      <c r="C2250" s="2" t="s">
        <v>2842</v>
      </c>
      <c r="D2250" s="1">
        <v>84</v>
      </c>
      <c r="E2250">
        <v>7214</v>
      </c>
      <c r="F2250">
        <v>8000</v>
      </c>
      <c r="G2250">
        <v>8500</v>
      </c>
      <c r="H2250">
        <v>12790</v>
      </c>
    </row>
    <row r="2251" spans="1:8" x14ac:dyDescent="0.25">
      <c r="A2251" s="10">
        <v>2808</v>
      </c>
      <c r="B2251" t="s">
        <v>2117</v>
      </c>
      <c r="C2251" s="2" t="s">
        <v>2843</v>
      </c>
      <c r="D2251" s="1">
        <v>84</v>
      </c>
      <c r="E2251">
        <v>7214</v>
      </c>
      <c r="F2251">
        <v>8000</v>
      </c>
      <c r="G2251">
        <v>8500</v>
      </c>
      <c r="H2251">
        <v>12790</v>
      </c>
    </row>
    <row r="2252" spans="1:8" x14ac:dyDescent="0.25">
      <c r="A2252" s="10">
        <v>2809</v>
      </c>
      <c r="B2252" t="s">
        <v>2117</v>
      </c>
      <c r="C2252" s="2" t="s">
        <v>2844</v>
      </c>
      <c r="D2252" s="1">
        <v>84</v>
      </c>
      <c r="E2252">
        <v>7214</v>
      </c>
      <c r="F2252">
        <v>8000</v>
      </c>
      <c r="G2252">
        <v>8500</v>
      </c>
      <c r="H2252">
        <v>12790</v>
      </c>
    </row>
    <row r="2254" spans="1:8" x14ac:dyDescent="0.25">
      <c r="A2254" s="10">
        <v>2810</v>
      </c>
      <c r="B2254" t="s">
        <v>2845</v>
      </c>
      <c r="C2254" s="2" t="s">
        <v>2846</v>
      </c>
      <c r="D2254" s="1" t="s">
        <v>2969</v>
      </c>
      <c r="E2254">
        <v>230</v>
      </c>
      <c r="F2254">
        <v>250</v>
      </c>
      <c r="G2254">
        <v>380</v>
      </c>
      <c r="H2254">
        <v>395</v>
      </c>
    </row>
    <row r="2255" spans="1:8" x14ac:dyDescent="0.25">
      <c r="A2255" s="10">
        <v>2811</v>
      </c>
      <c r="B2255" t="s">
        <v>2845</v>
      </c>
      <c r="C2255" s="2" t="s">
        <v>2847</v>
      </c>
      <c r="D2255" s="1">
        <v>116</v>
      </c>
      <c r="E2255">
        <v>235</v>
      </c>
      <c r="F2255">
        <v>280</v>
      </c>
      <c r="G2255">
        <v>380</v>
      </c>
      <c r="H2255">
        <v>395</v>
      </c>
    </row>
    <row r="2256" spans="1:8" x14ac:dyDescent="0.25">
      <c r="A2256" s="10">
        <v>2812</v>
      </c>
      <c r="B2256" t="s">
        <v>2845</v>
      </c>
      <c r="C2256" s="2" t="s">
        <v>2848</v>
      </c>
      <c r="D2256" s="1">
        <v>116</v>
      </c>
      <c r="E2256">
        <v>340</v>
      </c>
      <c r="F2256">
        <v>380</v>
      </c>
      <c r="G2256">
        <v>450</v>
      </c>
      <c r="H2256">
        <v>465</v>
      </c>
    </row>
    <row r="2257" spans="1:8" x14ac:dyDescent="0.25">
      <c r="A2257" s="10">
        <v>2813</v>
      </c>
      <c r="B2257" t="s">
        <v>2845</v>
      </c>
      <c r="C2257" s="2" t="s">
        <v>2849</v>
      </c>
      <c r="D2257" s="1">
        <v>116</v>
      </c>
      <c r="E2257">
        <v>180</v>
      </c>
      <c r="F2257">
        <v>280</v>
      </c>
      <c r="G2257">
        <v>350</v>
      </c>
      <c r="H2257">
        <v>375</v>
      </c>
    </row>
    <row r="2258" spans="1:8" x14ac:dyDescent="0.25">
      <c r="A2258" s="10">
        <v>2814</v>
      </c>
      <c r="B2258" t="s">
        <v>2845</v>
      </c>
      <c r="C2258" s="2" t="s">
        <v>2850</v>
      </c>
      <c r="D2258" s="1">
        <v>116</v>
      </c>
      <c r="E2258">
        <v>200</v>
      </c>
      <c r="F2258">
        <v>280</v>
      </c>
      <c r="G2258">
        <v>350</v>
      </c>
      <c r="H2258">
        <v>375</v>
      </c>
    </row>
    <row r="2259" spans="1:8" x14ac:dyDescent="0.25">
      <c r="A2259" s="10">
        <v>2815</v>
      </c>
      <c r="B2259" t="s">
        <v>2845</v>
      </c>
      <c r="C2259" s="2" t="s">
        <v>2851</v>
      </c>
      <c r="D2259" s="1">
        <v>116</v>
      </c>
      <c r="E2259">
        <v>240</v>
      </c>
      <c r="F2259">
        <v>350</v>
      </c>
      <c r="G2259">
        <v>380</v>
      </c>
      <c r="H2259">
        <v>395</v>
      </c>
    </row>
    <row r="2260" spans="1:8" x14ac:dyDescent="0.25">
      <c r="A2260" s="10">
        <v>2816</v>
      </c>
      <c r="B2260" t="s">
        <v>2845</v>
      </c>
      <c r="C2260" s="2" t="s">
        <v>2852</v>
      </c>
      <c r="D2260" s="1">
        <v>116</v>
      </c>
      <c r="E2260">
        <v>190</v>
      </c>
      <c r="F2260">
        <v>230</v>
      </c>
      <c r="G2260">
        <v>280</v>
      </c>
      <c r="H2260">
        <v>295</v>
      </c>
    </row>
    <row r="2261" spans="1:8" x14ac:dyDescent="0.25">
      <c r="A2261" s="10">
        <v>2817</v>
      </c>
      <c r="B2261" t="s">
        <v>2845</v>
      </c>
      <c r="C2261" s="2" t="s">
        <v>2853</v>
      </c>
      <c r="D2261" s="1">
        <v>116</v>
      </c>
      <c r="E2261">
        <v>200</v>
      </c>
      <c r="F2261">
        <v>250</v>
      </c>
      <c r="G2261">
        <v>350</v>
      </c>
      <c r="H2261">
        <v>375</v>
      </c>
    </row>
    <row r="2263" spans="1:8" x14ac:dyDescent="0.25">
      <c r="A2263" s="10">
        <v>2818</v>
      </c>
      <c r="B2263" t="s">
        <v>2966</v>
      </c>
      <c r="C2263" s="2" t="s">
        <v>2854</v>
      </c>
      <c r="D2263" s="1" t="s">
        <v>2970</v>
      </c>
      <c r="E2263">
        <v>110</v>
      </c>
      <c r="F2263">
        <v>150</v>
      </c>
      <c r="G2263">
        <v>200</v>
      </c>
      <c r="H2263">
        <v>225</v>
      </c>
    </row>
    <row r="2264" spans="1:8" x14ac:dyDescent="0.25">
      <c r="A2264" s="10">
        <v>2819</v>
      </c>
      <c r="B2264" t="s">
        <v>2967</v>
      </c>
      <c r="C2264" s="2" t="s">
        <v>2855</v>
      </c>
      <c r="D2264" s="1">
        <v>117</v>
      </c>
      <c r="E2264">
        <v>180</v>
      </c>
      <c r="F2264">
        <v>250</v>
      </c>
      <c r="G2264">
        <v>350</v>
      </c>
      <c r="H2264">
        <v>365</v>
      </c>
    </row>
    <row r="2265" spans="1:8" x14ac:dyDescent="0.25">
      <c r="A2265" s="10">
        <v>2820</v>
      </c>
      <c r="B2265" t="s">
        <v>2967</v>
      </c>
      <c r="C2265" s="2" t="s">
        <v>2856</v>
      </c>
      <c r="D2265" s="1">
        <v>117</v>
      </c>
      <c r="E2265">
        <v>750</v>
      </c>
      <c r="F2265">
        <v>850</v>
      </c>
      <c r="G2265">
        <v>950</v>
      </c>
      <c r="H2265">
        <v>975</v>
      </c>
    </row>
    <row r="2266" spans="1:8" x14ac:dyDescent="0.25">
      <c r="A2266" s="10">
        <v>2821</v>
      </c>
      <c r="B2266" t="s">
        <v>2967</v>
      </c>
      <c r="C2266" s="2" t="s">
        <v>2857</v>
      </c>
      <c r="D2266" s="1">
        <v>117</v>
      </c>
      <c r="E2266">
        <v>240</v>
      </c>
      <c r="F2266">
        <v>300</v>
      </c>
      <c r="G2266">
        <v>380</v>
      </c>
      <c r="H2266">
        <v>395</v>
      </c>
    </row>
    <row r="2267" spans="1:8" x14ac:dyDescent="0.25">
      <c r="A2267" s="10">
        <v>2822</v>
      </c>
      <c r="B2267" t="s">
        <v>2967</v>
      </c>
      <c r="C2267" s="2" t="s">
        <v>2858</v>
      </c>
      <c r="D2267" s="1">
        <v>117</v>
      </c>
      <c r="E2267">
        <v>155</v>
      </c>
      <c r="F2267">
        <v>250</v>
      </c>
      <c r="G2267">
        <v>280</v>
      </c>
      <c r="H2267">
        <v>295</v>
      </c>
    </row>
    <row r="2268" spans="1:8" x14ac:dyDescent="0.25">
      <c r="A2268" s="10">
        <v>2823</v>
      </c>
      <c r="B2268" t="s">
        <v>2967</v>
      </c>
      <c r="C2268" s="2" t="s">
        <v>2859</v>
      </c>
      <c r="D2268" s="1">
        <v>117</v>
      </c>
      <c r="E2268">
        <v>200</v>
      </c>
      <c r="F2268">
        <v>300</v>
      </c>
      <c r="G2268">
        <v>350</v>
      </c>
      <c r="H2268">
        <v>375</v>
      </c>
    </row>
    <row r="2269" spans="1:8" x14ac:dyDescent="0.25">
      <c r="A2269" s="10">
        <v>2824</v>
      </c>
      <c r="B2269" t="s">
        <v>2967</v>
      </c>
      <c r="C2269" s="2" t="s">
        <v>2860</v>
      </c>
      <c r="D2269" s="1">
        <v>117</v>
      </c>
      <c r="E2269">
        <v>240</v>
      </c>
      <c r="F2269">
        <v>300</v>
      </c>
      <c r="G2269">
        <v>380</v>
      </c>
      <c r="H2269">
        <v>395</v>
      </c>
    </row>
    <row r="2270" spans="1:8" x14ac:dyDescent="0.25">
      <c r="A2270" s="10">
        <v>2825</v>
      </c>
      <c r="B2270" t="s">
        <v>2967</v>
      </c>
      <c r="C2270" s="2" t="s">
        <v>2861</v>
      </c>
      <c r="D2270" s="1">
        <v>117</v>
      </c>
      <c r="E2270">
        <v>180</v>
      </c>
      <c r="F2270">
        <v>220</v>
      </c>
      <c r="G2270">
        <v>280</v>
      </c>
      <c r="H2270">
        <v>295</v>
      </c>
    </row>
    <row r="2271" spans="1:8" x14ac:dyDescent="0.25">
      <c r="A2271" s="10">
        <v>2826</v>
      </c>
      <c r="B2271" t="s">
        <v>2967</v>
      </c>
      <c r="C2271" s="2" t="s">
        <v>2872</v>
      </c>
      <c r="D2271" s="1">
        <v>117</v>
      </c>
      <c r="E2271">
        <v>1100</v>
      </c>
      <c r="F2271">
        <v>1250</v>
      </c>
      <c r="G2271">
        <v>1450</v>
      </c>
      <c r="H2271">
        <v>1475</v>
      </c>
    </row>
    <row r="2273" spans="1:8" x14ac:dyDescent="0.25">
      <c r="A2273" s="10">
        <v>2827</v>
      </c>
      <c r="B2273" t="s">
        <v>2968</v>
      </c>
      <c r="C2273" s="2" t="s">
        <v>2862</v>
      </c>
      <c r="D2273" s="1" t="s">
        <v>2971</v>
      </c>
      <c r="E2273">
        <v>137</v>
      </c>
      <c r="F2273">
        <v>200</v>
      </c>
      <c r="G2273">
        <v>250</v>
      </c>
      <c r="H2273">
        <v>270</v>
      </c>
    </row>
    <row r="2274" spans="1:8" x14ac:dyDescent="0.25">
      <c r="A2274" s="10">
        <v>2828</v>
      </c>
      <c r="B2274" t="s">
        <v>2968</v>
      </c>
      <c r="C2274" s="2" t="s">
        <v>2863</v>
      </c>
      <c r="D2274" s="1">
        <v>118</v>
      </c>
      <c r="E2274">
        <v>231</v>
      </c>
      <c r="F2274">
        <v>280</v>
      </c>
      <c r="G2274">
        <v>430</v>
      </c>
      <c r="H2274">
        <v>455</v>
      </c>
    </row>
    <row r="2275" spans="1:8" x14ac:dyDescent="0.25">
      <c r="A2275" s="10">
        <v>2829</v>
      </c>
      <c r="B2275" t="s">
        <v>2968</v>
      </c>
      <c r="C2275" s="2" t="s">
        <v>2864</v>
      </c>
      <c r="D2275" s="1">
        <v>118</v>
      </c>
      <c r="E2275">
        <v>445</v>
      </c>
      <c r="F2275">
        <v>600</v>
      </c>
      <c r="G2275">
        <v>850</v>
      </c>
      <c r="H2275">
        <v>875</v>
      </c>
    </row>
    <row r="2276" spans="1:8" x14ac:dyDescent="0.25">
      <c r="A2276" s="10">
        <v>2830</v>
      </c>
      <c r="B2276" t="s">
        <v>2968</v>
      </c>
      <c r="C2276" s="2" t="s">
        <v>2865</v>
      </c>
      <c r="D2276" s="1">
        <v>118</v>
      </c>
      <c r="E2276">
        <v>900</v>
      </c>
      <c r="F2276">
        <v>1300</v>
      </c>
      <c r="G2276">
        <v>1650</v>
      </c>
      <c r="H2276">
        <v>1670</v>
      </c>
    </row>
    <row r="2277" spans="1:8" x14ac:dyDescent="0.25">
      <c r="A2277" s="10">
        <v>2831</v>
      </c>
      <c r="B2277" t="s">
        <v>2968</v>
      </c>
      <c r="C2277" s="2" t="s">
        <v>2866</v>
      </c>
      <c r="D2277" s="1">
        <v>118</v>
      </c>
      <c r="E2277">
        <v>3000</v>
      </c>
      <c r="F2277">
        <v>4500</v>
      </c>
      <c r="G2277">
        <v>5950</v>
      </c>
      <c r="H2277">
        <v>5975</v>
      </c>
    </row>
    <row r="2279" spans="1:8" x14ac:dyDescent="0.25">
      <c r="A2279" s="10">
        <v>2832</v>
      </c>
      <c r="B2279" t="s">
        <v>2968</v>
      </c>
      <c r="C2279" s="2" t="s">
        <v>2867</v>
      </c>
      <c r="D2279" s="1">
        <v>118</v>
      </c>
    </row>
    <row r="2280" spans="1:8" x14ac:dyDescent="0.25">
      <c r="A2280" s="10">
        <v>2833</v>
      </c>
      <c r="B2280" t="s">
        <v>2968</v>
      </c>
      <c r="C2280" s="2" t="s">
        <v>2868</v>
      </c>
      <c r="D2280" s="1">
        <v>118</v>
      </c>
    </row>
    <row r="2281" spans="1:8" x14ac:dyDescent="0.25">
      <c r="A2281" s="10">
        <v>2834</v>
      </c>
      <c r="B2281" t="s">
        <v>2968</v>
      </c>
      <c r="C2281" s="2" t="s">
        <v>2869</v>
      </c>
      <c r="D2281" s="1">
        <v>118</v>
      </c>
      <c r="E2281">
        <v>735</v>
      </c>
      <c r="F2281">
        <v>800</v>
      </c>
      <c r="G2281">
        <v>950</v>
      </c>
      <c r="H2281">
        <v>980</v>
      </c>
    </row>
    <row r="2282" spans="1:8" x14ac:dyDescent="0.25">
      <c r="A2282" s="10">
        <v>2835</v>
      </c>
      <c r="B2282" t="s">
        <v>2968</v>
      </c>
      <c r="C2282" s="2" t="s">
        <v>2870</v>
      </c>
      <c r="D2282" s="1">
        <v>118</v>
      </c>
    </row>
    <row r="2283" spans="1:8" x14ac:dyDescent="0.25">
      <c r="C2283" s="5"/>
    </row>
    <row r="2284" spans="1:8" x14ac:dyDescent="0.25">
      <c r="A2284" s="10">
        <v>2836</v>
      </c>
      <c r="B2284" t="s">
        <v>2968</v>
      </c>
      <c r="C2284" s="2" t="s">
        <v>2871</v>
      </c>
      <c r="D2284" s="1">
        <v>118</v>
      </c>
      <c r="E2284">
        <v>2588</v>
      </c>
      <c r="F2284">
        <v>2900</v>
      </c>
      <c r="G2284">
        <v>3200</v>
      </c>
      <c r="H2284">
        <v>3450</v>
      </c>
    </row>
    <row r="2286" spans="1:8" x14ac:dyDescent="0.25">
      <c r="A2286" s="10">
        <v>2837</v>
      </c>
      <c r="B2286" t="s">
        <v>2972</v>
      </c>
      <c r="C2286" s="2" t="s">
        <v>2883</v>
      </c>
      <c r="D2286" s="1" t="s">
        <v>2976</v>
      </c>
      <c r="E2286">
        <v>675</v>
      </c>
      <c r="F2286">
        <v>750</v>
      </c>
      <c r="G2286">
        <v>850</v>
      </c>
      <c r="H2286">
        <v>875</v>
      </c>
    </row>
    <row r="2287" spans="1:8" x14ac:dyDescent="0.25">
      <c r="A2287" s="10">
        <v>2838</v>
      </c>
      <c r="B2287" t="s">
        <v>2972</v>
      </c>
      <c r="C2287" s="2" t="s">
        <v>2884</v>
      </c>
      <c r="D2287" s="1">
        <v>119</v>
      </c>
      <c r="E2287">
        <v>300</v>
      </c>
      <c r="F2287">
        <v>400</v>
      </c>
      <c r="G2287">
        <v>500</v>
      </c>
      <c r="H2287">
        <v>595</v>
      </c>
    </row>
    <row r="2288" spans="1:8" x14ac:dyDescent="0.25">
      <c r="A2288" s="10">
        <v>2839</v>
      </c>
      <c r="B2288" t="s">
        <v>2973</v>
      </c>
      <c r="C2288" s="2" t="s">
        <v>2885</v>
      </c>
      <c r="D2288" s="1">
        <v>119</v>
      </c>
      <c r="E2288">
        <v>130</v>
      </c>
      <c r="F2288">
        <v>200</v>
      </c>
      <c r="G2288">
        <v>250</v>
      </c>
      <c r="H2288">
        <v>265</v>
      </c>
    </row>
    <row r="2289" spans="1:8" x14ac:dyDescent="0.25">
      <c r="A2289" s="10">
        <v>2840</v>
      </c>
      <c r="B2289" t="s">
        <v>2973</v>
      </c>
      <c r="C2289" s="2" t="s">
        <v>2886</v>
      </c>
      <c r="D2289" s="1">
        <v>119</v>
      </c>
    </row>
    <row r="2290" spans="1:8" x14ac:dyDescent="0.25">
      <c r="A2290" s="10">
        <v>2841</v>
      </c>
      <c r="B2290" t="s">
        <v>2973</v>
      </c>
      <c r="C2290" s="2" t="s">
        <v>2887</v>
      </c>
      <c r="D2290" s="1">
        <v>119</v>
      </c>
    </row>
    <row r="2291" spans="1:8" x14ac:dyDescent="0.25">
      <c r="A2291" s="10">
        <v>2842</v>
      </c>
      <c r="B2291" t="s">
        <v>2973</v>
      </c>
      <c r="C2291" s="2" t="s">
        <v>2888</v>
      </c>
      <c r="D2291" s="1">
        <v>119</v>
      </c>
      <c r="E2291">
        <v>175</v>
      </c>
      <c r="F2291">
        <v>220</v>
      </c>
      <c r="G2291">
        <v>280</v>
      </c>
      <c r="H2291">
        <v>295</v>
      </c>
    </row>
    <row r="2292" spans="1:8" x14ac:dyDescent="0.25">
      <c r="A2292" s="10">
        <v>2843</v>
      </c>
      <c r="B2292" t="s">
        <v>2973</v>
      </c>
      <c r="C2292" s="2" t="s">
        <v>2889</v>
      </c>
      <c r="D2292" s="1">
        <v>119</v>
      </c>
      <c r="E2292">
        <v>180</v>
      </c>
      <c r="F2292">
        <v>220</v>
      </c>
      <c r="G2292">
        <v>280</v>
      </c>
      <c r="H2292">
        <v>295</v>
      </c>
    </row>
    <row r="2293" spans="1:8" x14ac:dyDescent="0.25">
      <c r="A2293" s="10">
        <v>2844</v>
      </c>
      <c r="B2293" t="s">
        <v>2973</v>
      </c>
      <c r="C2293" s="2" t="s">
        <v>2890</v>
      </c>
      <c r="D2293" s="1">
        <v>119</v>
      </c>
      <c r="E2293">
        <v>185</v>
      </c>
      <c r="F2293">
        <v>220</v>
      </c>
      <c r="G2293">
        <v>300</v>
      </c>
      <c r="H2293">
        <v>325</v>
      </c>
    </row>
    <row r="2294" spans="1:8" x14ac:dyDescent="0.25">
      <c r="A2294" s="10">
        <v>2845</v>
      </c>
      <c r="B2294" t="s">
        <v>2973</v>
      </c>
      <c r="C2294" s="2" t="s">
        <v>2891</v>
      </c>
      <c r="D2294" s="1">
        <v>119</v>
      </c>
      <c r="E2294">
        <v>320</v>
      </c>
      <c r="F2294">
        <v>400</v>
      </c>
      <c r="G2294">
        <v>480</v>
      </c>
      <c r="H2294">
        <v>495</v>
      </c>
    </row>
    <row r="2295" spans="1:8" x14ac:dyDescent="0.25">
      <c r="A2295" s="10">
        <v>2846</v>
      </c>
      <c r="B2295" t="s">
        <v>2973</v>
      </c>
      <c r="C2295" s="2" t="s">
        <v>2892</v>
      </c>
      <c r="D2295" s="1">
        <v>119</v>
      </c>
      <c r="E2295">
        <v>150</v>
      </c>
      <c r="F2295">
        <v>200</v>
      </c>
      <c r="G2295">
        <v>250</v>
      </c>
      <c r="H2295">
        <v>265</v>
      </c>
    </row>
    <row r="2296" spans="1:8" x14ac:dyDescent="0.25">
      <c r="A2296" s="10">
        <v>2847</v>
      </c>
      <c r="B2296" t="s">
        <v>2973</v>
      </c>
      <c r="C2296" s="2" t="s">
        <v>2893</v>
      </c>
      <c r="D2296" s="1">
        <v>119</v>
      </c>
      <c r="E2296">
        <v>450</v>
      </c>
      <c r="F2296">
        <v>550</v>
      </c>
      <c r="G2296">
        <v>680</v>
      </c>
      <c r="H2296">
        <v>695</v>
      </c>
    </row>
    <row r="2297" spans="1:8" x14ac:dyDescent="0.25">
      <c r="A2297" s="10">
        <v>2848</v>
      </c>
      <c r="B2297" t="s">
        <v>2972</v>
      </c>
      <c r="C2297" s="2" t="s">
        <v>2894</v>
      </c>
      <c r="D2297" s="1">
        <v>119</v>
      </c>
      <c r="E2297">
        <v>260</v>
      </c>
      <c r="F2297">
        <v>420</v>
      </c>
      <c r="G2297">
        <v>480</v>
      </c>
      <c r="H2297">
        <v>495</v>
      </c>
    </row>
    <row r="2298" spans="1:8" x14ac:dyDescent="0.25">
      <c r="A2298" s="10">
        <v>2849</v>
      </c>
      <c r="B2298" t="s">
        <v>2974</v>
      </c>
      <c r="C2298" s="2" t="s">
        <v>2895</v>
      </c>
      <c r="D2298" s="1">
        <v>119</v>
      </c>
    </row>
    <row r="2299" spans="1:8" x14ac:dyDescent="0.25">
      <c r="A2299" s="10">
        <v>2850</v>
      </c>
      <c r="B2299" t="s">
        <v>2974</v>
      </c>
      <c r="C2299" s="2" t="s">
        <v>2896</v>
      </c>
      <c r="D2299" s="1">
        <v>119</v>
      </c>
    </row>
    <row r="2300" spans="1:8" x14ac:dyDescent="0.25">
      <c r="A2300" s="10">
        <v>2851</v>
      </c>
      <c r="B2300" t="s">
        <v>2974</v>
      </c>
      <c r="C2300" s="2" t="s">
        <v>2897</v>
      </c>
      <c r="D2300" s="1">
        <v>119</v>
      </c>
      <c r="E2300">
        <v>360</v>
      </c>
      <c r="F2300">
        <v>420</v>
      </c>
      <c r="G2300">
        <v>480</v>
      </c>
      <c r="H2300">
        <v>495</v>
      </c>
    </row>
    <row r="2301" spans="1:8" x14ac:dyDescent="0.25">
      <c r="A2301" s="10">
        <v>2852</v>
      </c>
      <c r="B2301" t="s">
        <v>2974</v>
      </c>
      <c r="C2301" s="2" t="s">
        <v>2898</v>
      </c>
      <c r="D2301" s="1">
        <v>119</v>
      </c>
      <c r="E2301">
        <v>390</v>
      </c>
      <c r="F2301">
        <v>450</v>
      </c>
      <c r="G2301">
        <v>650</v>
      </c>
      <c r="H2301">
        <v>675</v>
      </c>
    </row>
    <row r="2302" spans="1:8" x14ac:dyDescent="0.25">
      <c r="A2302" s="10">
        <v>2853</v>
      </c>
      <c r="B2302" t="s">
        <v>2974</v>
      </c>
      <c r="C2302" s="2" t="s">
        <v>2899</v>
      </c>
      <c r="D2302" s="1">
        <v>119</v>
      </c>
    </row>
    <row r="2303" spans="1:8" x14ac:dyDescent="0.25">
      <c r="A2303" s="10">
        <v>2854</v>
      </c>
      <c r="B2303" t="s">
        <v>2974</v>
      </c>
      <c r="C2303" s="2" t="s">
        <v>2900</v>
      </c>
      <c r="D2303" s="1">
        <v>119</v>
      </c>
      <c r="E2303">
        <v>680</v>
      </c>
      <c r="F2303">
        <v>750</v>
      </c>
      <c r="G2303">
        <v>850</v>
      </c>
      <c r="H2303">
        <v>875</v>
      </c>
    </row>
    <row r="2304" spans="1:8" x14ac:dyDescent="0.25">
      <c r="A2304" s="10">
        <v>2855</v>
      </c>
      <c r="B2304" t="s">
        <v>2974</v>
      </c>
      <c r="C2304" s="2" t="s">
        <v>2901</v>
      </c>
      <c r="D2304" s="1">
        <v>119</v>
      </c>
      <c r="E2304">
        <v>310</v>
      </c>
      <c r="F2304">
        <v>450</v>
      </c>
      <c r="G2304">
        <v>580</v>
      </c>
      <c r="H2304">
        <v>595</v>
      </c>
    </row>
    <row r="2305" spans="1:8" x14ac:dyDescent="0.25">
      <c r="C2305" s="2"/>
    </row>
    <row r="2306" spans="1:8" x14ac:dyDescent="0.25">
      <c r="A2306" s="10">
        <v>2856</v>
      </c>
      <c r="B2306" t="s">
        <v>2975</v>
      </c>
      <c r="C2306" s="2" t="s">
        <v>2904</v>
      </c>
      <c r="D2306" s="1" t="s">
        <v>2977</v>
      </c>
      <c r="E2306">
        <v>625</v>
      </c>
      <c r="F2306">
        <v>750</v>
      </c>
      <c r="G2306">
        <v>950</v>
      </c>
      <c r="H2306">
        <v>975</v>
      </c>
    </row>
    <row r="2307" spans="1:8" x14ac:dyDescent="0.25">
      <c r="A2307" s="10">
        <v>2857</v>
      </c>
      <c r="B2307" t="s">
        <v>2975</v>
      </c>
      <c r="C2307" s="2" t="s">
        <v>2914</v>
      </c>
      <c r="D2307" s="1">
        <v>120</v>
      </c>
      <c r="E2307">
        <v>450</v>
      </c>
      <c r="F2307">
        <v>550</v>
      </c>
      <c r="G2307">
        <v>650</v>
      </c>
      <c r="H2307">
        <v>675</v>
      </c>
    </row>
    <row r="2308" spans="1:8" x14ac:dyDescent="0.25">
      <c r="A2308" s="10">
        <v>2858</v>
      </c>
      <c r="B2308" t="s">
        <v>2975</v>
      </c>
      <c r="C2308" s="2" t="s">
        <v>2905</v>
      </c>
      <c r="D2308" s="1">
        <v>120</v>
      </c>
      <c r="E2308">
        <v>645</v>
      </c>
      <c r="F2308">
        <v>750</v>
      </c>
      <c r="G2308">
        <v>850</v>
      </c>
      <c r="H2308">
        <v>875</v>
      </c>
    </row>
    <row r="2309" spans="1:8" x14ac:dyDescent="0.25">
      <c r="A2309" s="10">
        <v>2859</v>
      </c>
      <c r="B2309" t="s">
        <v>2975</v>
      </c>
      <c r="C2309" s="2" t="s">
        <v>2906</v>
      </c>
      <c r="D2309" s="1">
        <v>120</v>
      </c>
      <c r="E2309">
        <v>420</v>
      </c>
      <c r="F2309">
        <v>500</v>
      </c>
      <c r="G2309">
        <v>580</v>
      </c>
      <c r="H2309">
        <v>595</v>
      </c>
    </row>
    <row r="2310" spans="1:8" x14ac:dyDescent="0.25">
      <c r="A2310" s="10">
        <v>2860</v>
      </c>
      <c r="B2310" t="s">
        <v>2975</v>
      </c>
      <c r="C2310" s="2" t="s">
        <v>2915</v>
      </c>
      <c r="D2310" s="1">
        <v>120</v>
      </c>
      <c r="E2310">
        <v>440</v>
      </c>
      <c r="F2310">
        <v>550</v>
      </c>
      <c r="G2310">
        <v>650</v>
      </c>
      <c r="H2310">
        <v>675</v>
      </c>
    </row>
    <row r="2311" spans="1:8" x14ac:dyDescent="0.25">
      <c r="A2311" s="10">
        <v>2861</v>
      </c>
      <c r="B2311" t="s">
        <v>2975</v>
      </c>
      <c r="C2311" s="2" t="s">
        <v>4139</v>
      </c>
      <c r="D2311" s="1">
        <v>120</v>
      </c>
      <c r="E2311">
        <v>650</v>
      </c>
      <c r="F2311">
        <v>750</v>
      </c>
      <c r="G2311">
        <v>950</v>
      </c>
      <c r="H2311">
        <v>975</v>
      </c>
    </row>
    <row r="2312" spans="1:8" x14ac:dyDescent="0.25">
      <c r="A2312" s="10">
        <v>2862</v>
      </c>
      <c r="B2312" t="s">
        <v>2975</v>
      </c>
      <c r="C2312" s="2" t="s">
        <v>2907</v>
      </c>
      <c r="D2312" s="1">
        <v>120</v>
      </c>
      <c r="E2312">
        <v>890</v>
      </c>
      <c r="F2312">
        <v>1100</v>
      </c>
      <c r="G2312">
        <v>1350</v>
      </c>
      <c r="H2312">
        <v>1375</v>
      </c>
    </row>
    <row r="2313" spans="1:8" x14ac:dyDescent="0.25">
      <c r="A2313" s="10">
        <v>2863</v>
      </c>
      <c r="B2313" t="s">
        <v>2975</v>
      </c>
      <c r="C2313" s="2" t="s">
        <v>2919</v>
      </c>
      <c r="D2313" s="1">
        <v>120</v>
      </c>
      <c r="E2313">
        <v>675</v>
      </c>
      <c r="F2313">
        <v>850</v>
      </c>
      <c r="G2313">
        <v>950</v>
      </c>
      <c r="H2313">
        <v>975</v>
      </c>
    </row>
    <row r="2314" spans="1:8" x14ac:dyDescent="0.25">
      <c r="A2314" s="10">
        <v>2864</v>
      </c>
      <c r="B2314" t="s">
        <v>2975</v>
      </c>
      <c r="C2314" s="2" t="s">
        <v>2920</v>
      </c>
      <c r="D2314" s="1">
        <v>120</v>
      </c>
      <c r="E2314">
        <v>825</v>
      </c>
      <c r="F2314">
        <v>1100</v>
      </c>
      <c r="G2314">
        <v>1250</v>
      </c>
      <c r="H2314">
        <v>1275</v>
      </c>
    </row>
    <row r="2315" spans="1:8" x14ac:dyDescent="0.25">
      <c r="A2315" s="10">
        <v>2865</v>
      </c>
      <c r="B2315" t="s">
        <v>2975</v>
      </c>
      <c r="C2315" s="2" t="s">
        <v>2908</v>
      </c>
      <c r="D2315" s="1">
        <v>120</v>
      </c>
    </row>
    <row r="2316" spans="1:8" x14ac:dyDescent="0.25">
      <c r="A2316" s="10">
        <v>2866</v>
      </c>
      <c r="B2316" t="s">
        <v>2975</v>
      </c>
      <c r="C2316" s="2" t="s">
        <v>2909</v>
      </c>
      <c r="D2316" s="1">
        <v>120</v>
      </c>
      <c r="E2316">
        <v>1675</v>
      </c>
      <c r="F2316">
        <v>2000</v>
      </c>
      <c r="G2316">
        <v>2350</v>
      </c>
      <c r="H2316">
        <v>2375</v>
      </c>
    </row>
    <row r="2317" spans="1:8" x14ac:dyDescent="0.25">
      <c r="A2317" s="10">
        <v>2867</v>
      </c>
      <c r="B2317" t="s">
        <v>2975</v>
      </c>
      <c r="C2317" s="2" t="s">
        <v>2910</v>
      </c>
      <c r="D2317" s="1">
        <v>120</v>
      </c>
    </row>
    <row r="2318" spans="1:8" x14ac:dyDescent="0.25">
      <c r="A2318" s="10">
        <v>2868</v>
      </c>
      <c r="B2318" t="s">
        <v>2975</v>
      </c>
      <c r="C2318" s="2" t="s">
        <v>2911</v>
      </c>
      <c r="D2318" s="1">
        <v>120</v>
      </c>
    </row>
    <row r="2319" spans="1:8" x14ac:dyDescent="0.25">
      <c r="A2319" s="10">
        <v>2869</v>
      </c>
      <c r="B2319" t="s">
        <v>2975</v>
      </c>
      <c r="C2319" s="2" t="s">
        <v>2912</v>
      </c>
      <c r="D2319" s="1">
        <v>120</v>
      </c>
    </row>
    <row r="2320" spans="1:8" x14ac:dyDescent="0.25">
      <c r="A2320" s="10">
        <v>2870</v>
      </c>
      <c r="B2320" t="s">
        <v>2975</v>
      </c>
      <c r="C2320" s="2" t="s">
        <v>2913</v>
      </c>
      <c r="D2320" s="1">
        <v>120</v>
      </c>
    </row>
    <row r="2322" spans="1:8" x14ac:dyDescent="0.25">
      <c r="A2322" s="10">
        <v>2871</v>
      </c>
      <c r="B2322" t="s">
        <v>2978</v>
      </c>
      <c r="C2322" s="2" t="s">
        <v>2921</v>
      </c>
      <c r="D2322" s="1" t="s">
        <v>2997</v>
      </c>
      <c r="E2322">
        <v>70</v>
      </c>
      <c r="F2322">
        <v>120</v>
      </c>
      <c r="G2322">
        <v>180</v>
      </c>
      <c r="H2322">
        <v>195</v>
      </c>
    </row>
    <row r="2323" spans="1:8" x14ac:dyDescent="0.25">
      <c r="A2323" s="10">
        <v>2872</v>
      </c>
      <c r="B2323" t="s">
        <v>2978</v>
      </c>
      <c r="C2323" s="8" t="s">
        <v>2916</v>
      </c>
      <c r="D2323" s="1">
        <v>121</v>
      </c>
      <c r="E2323">
        <v>50</v>
      </c>
      <c r="F2323">
        <v>70</v>
      </c>
      <c r="G2323">
        <v>100</v>
      </c>
      <c r="H2323">
        <v>160</v>
      </c>
    </row>
    <row r="2324" spans="1:8" x14ac:dyDescent="0.25">
      <c r="A2324" s="10">
        <v>2873</v>
      </c>
      <c r="B2324" t="s">
        <v>2978</v>
      </c>
      <c r="C2324" s="2" t="s">
        <v>2917</v>
      </c>
      <c r="D2324" s="1">
        <v>121</v>
      </c>
      <c r="E2324">
        <v>50</v>
      </c>
      <c r="F2324">
        <v>70</v>
      </c>
      <c r="G2324">
        <v>100</v>
      </c>
      <c r="H2324">
        <v>160</v>
      </c>
    </row>
    <row r="2325" spans="1:8" x14ac:dyDescent="0.25">
      <c r="A2325" s="10">
        <v>2874</v>
      </c>
      <c r="B2325" t="s">
        <v>2978</v>
      </c>
      <c r="C2325" s="8" t="s">
        <v>2918</v>
      </c>
      <c r="D2325" s="1">
        <v>121</v>
      </c>
      <c r="E2325">
        <v>66</v>
      </c>
      <c r="F2325">
        <v>80</v>
      </c>
      <c r="G2325">
        <v>100</v>
      </c>
      <c r="H2325">
        <v>120</v>
      </c>
    </row>
    <row r="2326" spans="1:8" x14ac:dyDescent="0.25">
      <c r="A2326" s="10">
        <v>2875</v>
      </c>
      <c r="B2326" t="s">
        <v>2978</v>
      </c>
      <c r="C2326" s="2" t="s">
        <v>2922</v>
      </c>
      <c r="D2326" s="1">
        <v>121</v>
      </c>
      <c r="E2326">
        <v>40</v>
      </c>
      <c r="F2326">
        <v>60</v>
      </c>
      <c r="G2326">
        <v>80</v>
      </c>
      <c r="H2326">
        <v>100</v>
      </c>
    </row>
    <row r="2327" spans="1:8" x14ac:dyDescent="0.25">
      <c r="A2327" s="10">
        <v>2876</v>
      </c>
      <c r="B2327" t="s">
        <v>2978</v>
      </c>
      <c r="C2327" s="2" t="s">
        <v>2929</v>
      </c>
      <c r="D2327" s="1">
        <v>121</v>
      </c>
      <c r="E2327">
        <v>1000</v>
      </c>
      <c r="F2327">
        <v>1200</v>
      </c>
      <c r="G2327">
        <v>1400</v>
      </c>
      <c r="H2327">
        <v>1800</v>
      </c>
    </row>
    <row r="2328" spans="1:8" x14ac:dyDescent="0.25">
      <c r="A2328" s="10">
        <v>2877</v>
      </c>
      <c r="B2328" t="s">
        <v>2994</v>
      </c>
      <c r="C2328" s="8" t="s">
        <v>2923</v>
      </c>
      <c r="D2328" s="1">
        <v>121</v>
      </c>
      <c r="E2328">
        <v>100</v>
      </c>
      <c r="F2328">
        <v>130</v>
      </c>
      <c r="G2328">
        <v>200</v>
      </c>
      <c r="H2328">
        <v>250</v>
      </c>
    </row>
    <row r="2329" spans="1:8" x14ac:dyDescent="0.25">
      <c r="A2329" s="10">
        <v>2878</v>
      </c>
      <c r="B2329" t="s">
        <v>2995</v>
      </c>
      <c r="C2329" s="8" t="s">
        <v>2925</v>
      </c>
      <c r="D2329" s="1">
        <v>121</v>
      </c>
      <c r="E2329">
        <v>100</v>
      </c>
      <c r="F2329">
        <v>130</v>
      </c>
      <c r="G2329">
        <v>200</v>
      </c>
      <c r="H2329">
        <v>250</v>
      </c>
    </row>
    <row r="2330" spans="1:8" x14ac:dyDescent="0.25">
      <c r="A2330" s="10">
        <v>2879</v>
      </c>
      <c r="B2330" t="s">
        <v>2996</v>
      </c>
      <c r="C2330" s="8" t="s">
        <v>2924</v>
      </c>
      <c r="D2330" s="1">
        <v>121</v>
      </c>
      <c r="E2330">
        <v>100</v>
      </c>
      <c r="F2330">
        <v>130</v>
      </c>
      <c r="G2330">
        <v>200</v>
      </c>
      <c r="H2330">
        <v>250</v>
      </c>
    </row>
    <row r="2331" spans="1:8" x14ac:dyDescent="0.25">
      <c r="A2331" s="10">
        <v>2880</v>
      </c>
      <c r="B2331" t="s">
        <v>2979</v>
      </c>
      <c r="C2331" s="8" t="s">
        <v>2926</v>
      </c>
      <c r="D2331" s="1">
        <v>121</v>
      </c>
      <c r="E2331">
        <v>432</v>
      </c>
      <c r="F2331">
        <v>470</v>
      </c>
      <c r="G2331">
        <v>480</v>
      </c>
      <c r="H2331">
        <v>480</v>
      </c>
    </row>
    <row r="2332" spans="1:8" x14ac:dyDescent="0.25">
      <c r="A2332" s="10">
        <v>2881</v>
      </c>
      <c r="B2332" t="s">
        <v>2979</v>
      </c>
      <c r="C2332" s="2" t="s">
        <v>2927</v>
      </c>
      <c r="D2332" s="1">
        <v>121</v>
      </c>
      <c r="E2332">
        <v>239</v>
      </c>
      <c r="F2332">
        <v>250</v>
      </c>
      <c r="G2332">
        <v>260</v>
      </c>
      <c r="H2332">
        <v>265</v>
      </c>
    </row>
    <row r="2333" spans="1:8" x14ac:dyDescent="0.25">
      <c r="A2333" s="10">
        <v>2882</v>
      </c>
      <c r="B2333" t="s">
        <v>2979</v>
      </c>
      <c r="C2333" s="2" t="s">
        <v>2932</v>
      </c>
      <c r="D2333" s="1">
        <v>121</v>
      </c>
      <c r="E2333">
        <v>347</v>
      </c>
      <c r="F2333">
        <v>370</v>
      </c>
      <c r="G2333">
        <v>380</v>
      </c>
      <c r="H2333">
        <v>385</v>
      </c>
    </row>
    <row r="2334" spans="1:8" x14ac:dyDescent="0.25">
      <c r="A2334" s="10">
        <v>2883</v>
      </c>
      <c r="B2334" t="s">
        <v>2980</v>
      </c>
      <c r="C2334" s="2" t="s">
        <v>2928</v>
      </c>
      <c r="D2334" s="1">
        <v>121</v>
      </c>
      <c r="E2334">
        <v>423</v>
      </c>
      <c r="F2334">
        <v>450</v>
      </c>
      <c r="G2334">
        <v>460</v>
      </c>
      <c r="H2334">
        <v>470</v>
      </c>
    </row>
    <row r="2335" spans="1:8" x14ac:dyDescent="0.25">
      <c r="A2335" s="10">
        <v>2884</v>
      </c>
      <c r="B2335" t="s">
        <v>2980</v>
      </c>
      <c r="C2335" s="2" t="s">
        <v>2933</v>
      </c>
      <c r="D2335" s="1">
        <v>121</v>
      </c>
      <c r="E2335">
        <v>369</v>
      </c>
      <c r="F2335">
        <v>380</v>
      </c>
      <c r="G2335">
        <v>400</v>
      </c>
      <c r="H2335">
        <v>410</v>
      </c>
    </row>
    <row r="2336" spans="1:8" x14ac:dyDescent="0.25">
      <c r="A2336" s="10">
        <v>2885</v>
      </c>
      <c r="B2336" t="s">
        <v>2984</v>
      </c>
      <c r="C2336" s="2" t="s">
        <v>2930</v>
      </c>
      <c r="D2336" s="1">
        <v>121</v>
      </c>
      <c r="E2336">
        <v>530</v>
      </c>
      <c r="F2336">
        <v>550</v>
      </c>
      <c r="G2336">
        <v>580</v>
      </c>
      <c r="H2336">
        <v>590</v>
      </c>
    </row>
    <row r="2337" spans="1:8" x14ac:dyDescent="0.25">
      <c r="A2337" s="10">
        <v>2886</v>
      </c>
      <c r="B2337" t="s">
        <v>2984</v>
      </c>
      <c r="C2337" s="2" t="s">
        <v>2931</v>
      </c>
      <c r="D2337" s="1">
        <v>121</v>
      </c>
      <c r="E2337">
        <v>530</v>
      </c>
      <c r="F2337">
        <v>550</v>
      </c>
      <c r="G2337">
        <v>580</v>
      </c>
      <c r="H2337">
        <v>590</v>
      </c>
    </row>
    <row r="2338" spans="1:8" x14ac:dyDescent="0.25">
      <c r="A2338" s="10">
        <v>2887</v>
      </c>
      <c r="B2338" t="s">
        <v>2981</v>
      </c>
      <c r="C2338" s="2" t="s">
        <v>2934</v>
      </c>
      <c r="D2338" s="1">
        <v>121</v>
      </c>
      <c r="E2338">
        <v>360</v>
      </c>
      <c r="F2338">
        <v>370</v>
      </c>
      <c r="G2338">
        <v>400</v>
      </c>
      <c r="H2338">
        <v>400</v>
      </c>
    </row>
    <row r="2339" spans="1:8" x14ac:dyDescent="0.25">
      <c r="A2339" s="10">
        <v>2888</v>
      </c>
      <c r="B2339" t="s">
        <v>2981</v>
      </c>
      <c r="C2339" s="2" t="s">
        <v>2935</v>
      </c>
      <c r="D2339" s="1">
        <v>121</v>
      </c>
      <c r="E2339">
        <v>432</v>
      </c>
      <c r="F2339">
        <v>450</v>
      </c>
      <c r="G2339">
        <v>480</v>
      </c>
      <c r="H2339">
        <v>480</v>
      </c>
    </row>
    <row r="2340" spans="1:8" x14ac:dyDescent="0.25">
      <c r="A2340" s="10">
        <v>2889</v>
      </c>
      <c r="B2340" t="s">
        <v>2981</v>
      </c>
      <c r="C2340" s="2" t="s">
        <v>2936</v>
      </c>
      <c r="D2340" s="1">
        <v>121</v>
      </c>
      <c r="E2340">
        <v>432</v>
      </c>
      <c r="F2340">
        <v>450</v>
      </c>
      <c r="G2340">
        <v>480</v>
      </c>
      <c r="H2340">
        <v>480</v>
      </c>
    </row>
    <row r="2341" spans="1:8" x14ac:dyDescent="0.25">
      <c r="A2341" s="10">
        <v>2890</v>
      </c>
      <c r="B2341" t="s">
        <v>2981</v>
      </c>
      <c r="C2341" s="2" t="s">
        <v>2937</v>
      </c>
      <c r="D2341" s="1">
        <v>121</v>
      </c>
      <c r="E2341">
        <v>315</v>
      </c>
      <c r="F2341">
        <v>330</v>
      </c>
      <c r="G2341">
        <v>350</v>
      </c>
      <c r="H2341">
        <v>350</v>
      </c>
    </row>
    <row r="2342" spans="1:8" x14ac:dyDescent="0.25">
      <c r="A2342" s="10">
        <v>2891</v>
      </c>
      <c r="B2342" t="s">
        <v>2981</v>
      </c>
      <c r="C2342" s="2" t="s">
        <v>2938</v>
      </c>
      <c r="D2342" s="1">
        <v>121</v>
      </c>
      <c r="E2342">
        <v>315</v>
      </c>
      <c r="F2342">
        <v>330</v>
      </c>
      <c r="G2342">
        <v>350</v>
      </c>
      <c r="H2342">
        <v>350</v>
      </c>
    </row>
    <row r="2343" spans="1:8" x14ac:dyDescent="0.25">
      <c r="A2343" s="10">
        <v>2892</v>
      </c>
      <c r="B2343" t="s">
        <v>2981</v>
      </c>
      <c r="C2343" s="2" t="s">
        <v>2939</v>
      </c>
      <c r="D2343" s="1">
        <v>121</v>
      </c>
      <c r="E2343">
        <v>351</v>
      </c>
      <c r="F2343">
        <v>370</v>
      </c>
      <c r="G2343">
        <v>380</v>
      </c>
      <c r="H2343">
        <v>390</v>
      </c>
    </row>
    <row r="2344" spans="1:8" x14ac:dyDescent="0.25">
      <c r="A2344" s="10">
        <v>2893</v>
      </c>
      <c r="B2344" t="s">
        <v>2981</v>
      </c>
      <c r="C2344" s="2" t="s">
        <v>2940</v>
      </c>
      <c r="D2344" s="1">
        <v>121</v>
      </c>
      <c r="E2344">
        <v>198</v>
      </c>
      <c r="F2344">
        <v>200</v>
      </c>
      <c r="G2344">
        <v>220</v>
      </c>
      <c r="H2344">
        <v>220</v>
      </c>
    </row>
    <row r="2345" spans="1:8" x14ac:dyDescent="0.25">
      <c r="A2345" s="10">
        <v>2894</v>
      </c>
      <c r="B2345" t="s">
        <v>2981</v>
      </c>
      <c r="C2345" s="2" t="s">
        <v>2941</v>
      </c>
      <c r="D2345" s="1">
        <v>121</v>
      </c>
      <c r="E2345">
        <v>441</v>
      </c>
      <c r="F2345">
        <f>SUM(E2345+20)</f>
        <v>461</v>
      </c>
      <c r="G2345">
        <v>480</v>
      </c>
      <c r="H2345">
        <v>490</v>
      </c>
    </row>
    <row r="2346" spans="1:8" x14ac:dyDescent="0.25">
      <c r="A2346" s="10">
        <v>2895</v>
      </c>
      <c r="B2346" t="s">
        <v>2981</v>
      </c>
      <c r="C2346" s="2" t="s">
        <v>2942</v>
      </c>
      <c r="D2346" s="1">
        <v>121</v>
      </c>
      <c r="E2346">
        <v>531</v>
      </c>
      <c r="F2346">
        <f t="shared" ref="F2346:F2360" si="49">SUM(E2346+20)</f>
        <v>551</v>
      </c>
      <c r="G2346">
        <v>580</v>
      </c>
      <c r="H2346">
        <v>590</v>
      </c>
    </row>
    <row r="2347" spans="1:8" x14ac:dyDescent="0.25">
      <c r="A2347" s="10">
        <v>2896</v>
      </c>
      <c r="B2347" t="s">
        <v>2981</v>
      </c>
      <c r="C2347" s="2" t="s">
        <v>2943</v>
      </c>
      <c r="D2347" s="1">
        <v>121</v>
      </c>
      <c r="E2347">
        <v>531</v>
      </c>
      <c r="F2347">
        <f t="shared" si="49"/>
        <v>551</v>
      </c>
      <c r="G2347">
        <v>580</v>
      </c>
      <c r="H2347">
        <v>590</v>
      </c>
    </row>
    <row r="2348" spans="1:8" x14ac:dyDescent="0.25">
      <c r="A2348" s="10">
        <v>2897</v>
      </c>
      <c r="B2348" t="s">
        <v>2992</v>
      </c>
      <c r="C2348" s="2" t="s">
        <v>2944</v>
      </c>
      <c r="D2348" s="1">
        <v>121</v>
      </c>
      <c r="E2348">
        <v>225</v>
      </c>
      <c r="F2348">
        <f t="shared" si="49"/>
        <v>245</v>
      </c>
      <c r="G2348">
        <v>250</v>
      </c>
      <c r="H2348">
        <v>250</v>
      </c>
    </row>
    <row r="2349" spans="1:8" x14ac:dyDescent="0.25">
      <c r="A2349" s="10">
        <v>2898</v>
      </c>
      <c r="B2349" t="s">
        <v>2982</v>
      </c>
      <c r="C2349" s="2" t="s">
        <v>2945</v>
      </c>
      <c r="D2349" s="1">
        <v>121</v>
      </c>
      <c r="E2349">
        <v>675</v>
      </c>
      <c r="F2349">
        <f t="shared" si="49"/>
        <v>695</v>
      </c>
      <c r="G2349">
        <v>750</v>
      </c>
      <c r="H2349">
        <v>750</v>
      </c>
    </row>
    <row r="2350" spans="1:8" x14ac:dyDescent="0.25">
      <c r="A2350" s="10">
        <v>2899</v>
      </c>
      <c r="B2350" t="s">
        <v>2983</v>
      </c>
      <c r="C2350" s="2" t="s">
        <v>2946</v>
      </c>
      <c r="D2350" s="1">
        <v>121</v>
      </c>
      <c r="E2350">
        <v>270</v>
      </c>
      <c r="F2350">
        <f t="shared" si="49"/>
        <v>290</v>
      </c>
      <c r="G2350">
        <v>280</v>
      </c>
      <c r="H2350">
        <v>299</v>
      </c>
    </row>
    <row r="2351" spans="1:8" x14ac:dyDescent="0.25">
      <c r="A2351" s="10">
        <v>2900</v>
      </c>
      <c r="B2351" t="s">
        <v>2983</v>
      </c>
      <c r="C2351" s="2" t="s">
        <v>2947</v>
      </c>
      <c r="D2351" s="1">
        <v>121</v>
      </c>
      <c r="E2351">
        <v>189</v>
      </c>
      <c r="F2351">
        <f t="shared" si="49"/>
        <v>209</v>
      </c>
      <c r="G2351">
        <v>200</v>
      </c>
      <c r="H2351">
        <v>210</v>
      </c>
    </row>
    <row r="2352" spans="1:8" x14ac:dyDescent="0.25">
      <c r="A2352" s="10">
        <v>2901</v>
      </c>
      <c r="B2352" t="s">
        <v>2983</v>
      </c>
      <c r="C2352" s="2" t="s">
        <v>2948</v>
      </c>
      <c r="D2352" s="1">
        <v>121</v>
      </c>
      <c r="E2352">
        <v>117</v>
      </c>
      <c r="F2352">
        <f t="shared" si="49"/>
        <v>137</v>
      </c>
      <c r="G2352">
        <v>120</v>
      </c>
      <c r="H2352">
        <v>130</v>
      </c>
    </row>
    <row r="2353" spans="1:8" x14ac:dyDescent="0.25">
      <c r="A2353" s="10">
        <v>2902</v>
      </c>
      <c r="B2353" t="s">
        <v>2983</v>
      </c>
      <c r="C2353" s="2" t="s">
        <v>2949</v>
      </c>
      <c r="D2353" s="1">
        <v>121</v>
      </c>
      <c r="E2353">
        <v>342</v>
      </c>
      <c r="F2353">
        <f t="shared" si="49"/>
        <v>362</v>
      </c>
      <c r="G2353">
        <v>380</v>
      </c>
      <c r="H2353">
        <v>380</v>
      </c>
    </row>
    <row r="2354" spans="1:8" x14ac:dyDescent="0.25">
      <c r="A2354" s="10">
        <v>2903</v>
      </c>
      <c r="B2354" t="s">
        <v>2985</v>
      </c>
      <c r="C2354" s="2" t="s">
        <v>2950</v>
      </c>
      <c r="D2354" s="1">
        <v>121</v>
      </c>
      <c r="E2354">
        <v>198</v>
      </c>
      <c r="F2354">
        <f t="shared" si="49"/>
        <v>218</v>
      </c>
      <c r="G2354">
        <v>220</v>
      </c>
      <c r="H2354">
        <v>220</v>
      </c>
    </row>
    <row r="2355" spans="1:8" x14ac:dyDescent="0.25">
      <c r="A2355" s="10">
        <v>2904</v>
      </c>
      <c r="B2355" t="s">
        <v>2986</v>
      </c>
      <c r="C2355" s="2" t="s">
        <v>2951</v>
      </c>
      <c r="D2355" s="1">
        <v>121</v>
      </c>
      <c r="E2355">
        <v>432</v>
      </c>
      <c r="F2355">
        <f t="shared" si="49"/>
        <v>452</v>
      </c>
      <c r="G2355">
        <v>480</v>
      </c>
      <c r="H2355">
        <v>480</v>
      </c>
    </row>
    <row r="2356" spans="1:8" x14ac:dyDescent="0.25">
      <c r="A2356" s="10">
        <v>2905</v>
      </c>
      <c r="B2356" t="s">
        <v>2987</v>
      </c>
      <c r="C2356" s="2" t="s">
        <v>2952</v>
      </c>
      <c r="D2356" s="1">
        <v>121</v>
      </c>
      <c r="E2356">
        <v>414</v>
      </c>
      <c r="F2356">
        <f t="shared" si="49"/>
        <v>434</v>
      </c>
      <c r="G2356">
        <v>450</v>
      </c>
      <c r="H2356">
        <v>460</v>
      </c>
    </row>
    <row r="2357" spans="1:8" x14ac:dyDescent="0.25">
      <c r="A2357" s="10">
        <v>2906</v>
      </c>
      <c r="B2357" t="s">
        <v>2988</v>
      </c>
      <c r="C2357" s="2" t="s">
        <v>2953</v>
      </c>
      <c r="D2357" s="1">
        <v>121</v>
      </c>
      <c r="E2357">
        <v>318</v>
      </c>
      <c r="F2357">
        <f t="shared" si="49"/>
        <v>338</v>
      </c>
      <c r="G2357">
        <v>560</v>
      </c>
      <c r="H2357">
        <v>575</v>
      </c>
    </row>
    <row r="2358" spans="1:8" x14ac:dyDescent="0.25">
      <c r="A2358" s="10">
        <v>2907</v>
      </c>
      <c r="B2358" t="s">
        <v>2989</v>
      </c>
      <c r="C2358" s="2" t="s">
        <v>2954</v>
      </c>
      <c r="D2358" s="1">
        <v>121</v>
      </c>
      <c r="E2358">
        <v>765</v>
      </c>
      <c r="F2358">
        <f t="shared" si="49"/>
        <v>785</v>
      </c>
      <c r="G2358">
        <v>850</v>
      </c>
      <c r="H2358">
        <v>850</v>
      </c>
    </row>
    <row r="2359" spans="1:8" x14ac:dyDescent="0.25">
      <c r="A2359" s="10">
        <v>2908</v>
      </c>
      <c r="B2359" t="s">
        <v>2990</v>
      </c>
      <c r="C2359" s="2" t="s">
        <v>2955</v>
      </c>
      <c r="D2359" s="1">
        <v>121</v>
      </c>
      <c r="E2359">
        <v>1080</v>
      </c>
      <c r="F2359">
        <f t="shared" si="49"/>
        <v>1100</v>
      </c>
      <c r="G2359">
        <v>1150</v>
      </c>
      <c r="H2359">
        <v>1200</v>
      </c>
    </row>
    <row r="2360" spans="1:8" x14ac:dyDescent="0.25">
      <c r="A2360" s="10">
        <v>2909</v>
      </c>
      <c r="B2360" t="s">
        <v>2984</v>
      </c>
      <c r="C2360" s="2" t="s">
        <v>2956</v>
      </c>
      <c r="D2360" s="1">
        <v>121</v>
      </c>
      <c r="E2360">
        <v>801</v>
      </c>
      <c r="F2360">
        <f t="shared" si="49"/>
        <v>821</v>
      </c>
      <c r="G2360">
        <v>850</v>
      </c>
      <c r="H2360">
        <v>890</v>
      </c>
    </row>
    <row r="2361" spans="1:8" x14ac:dyDescent="0.25">
      <c r="A2361" s="10">
        <v>2910</v>
      </c>
      <c r="B2361" t="s">
        <v>2991</v>
      </c>
      <c r="C2361" s="2" t="s">
        <v>2957</v>
      </c>
      <c r="D2361" s="1">
        <v>121</v>
      </c>
      <c r="E2361">
        <v>375</v>
      </c>
      <c r="F2361">
        <v>550</v>
      </c>
      <c r="G2361">
        <v>580</v>
      </c>
      <c r="H2361">
        <v>595</v>
      </c>
    </row>
    <row r="2362" spans="1:8" x14ac:dyDescent="0.25">
      <c r="A2362" s="10">
        <v>2911</v>
      </c>
      <c r="B2362" t="s">
        <v>2991</v>
      </c>
      <c r="C2362" s="2" t="s">
        <v>2958</v>
      </c>
      <c r="D2362" s="1">
        <v>121</v>
      </c>
      <c r="E2362">
        <v>260</v>
      </c>
      <c r="F2362">
        <v>300</v>
      </c>
      <c r="G2362">
        <v>350</v>
      </c>
      <c r="H2362">
        <v>375</v>
      </c>
    </row>
    <row r="2363" spans="1:8" x14ac:dyDescent="0.25">
      <c r="A2363" s="10">
        <v>2912</v>
      </c>
      <c r="B2363" t="s">
        <v>2993</v>
      </c>
      <c r="C2363" s="2" t="s">
        <v>2959</v>
      </c>
      <c r="D2363" s="1">
        <v>121</v>
      </c>
      <c r="G2363">
        <v>1000</v>
      </c>
      <c r="H2363">
        <v>1390</v>
      </c>
    </row>
    <row r="2365" spans="1:8" x14ac:dyDescent="0.25">
      <c r="A2365" s="10">
        <v>2913</v>
      </c>
      <c r="B2365" s="1" t="s">
        <v>2960</v>
      </c>
      <c r="C2365" s="2" t="s">
        <v>2692</v>
      </c>
      <c r="D2365" s="1" t="s">
        <v>3003</v>
      </c>
      <c r="E2365">
        <v>165</v>
      </c>
      <c r="F2365">
        <v>200</v>
      </c>
      <c r="G2365">
        <v>250</v>
      </c>
      <c r="H2365">
        <v>275</v>
      </c>
    </row>
    <row r="2366" spans="1:8" x14ac:dyDescent="0.25">
      <c r="A2366" s="10">
        <v>2914</v>
      </c>
      <c r="B2366" s="1" t="s">
        <v>2960</v>
      </c>
      <c r="C2366" s="2" t="s">
        <v>2693</v>
      </c>
      <c r="D2366" s="1">
        <v>122</v>
      </c>
      <c r="E2366">
        <v>180</v>
      </c>
      <c r="F2366">
        <v>230</v>
      </c>
      <c r="G2366">
        <v>280</v>
      </c>
      <c r="H2366">
        <v>300</v>
      </c>
    </row>
    <row r="2367" spans="1:8" x14ac:dyDescent="0.25">
      <c r="A2367" s="10">
        <v>2915</v>
      </c>
      <c r="B2367" s="1" t="s">
        <v>2960</v>
      </c>
      <c r="C2367" s="2" t="s">
        <v>2694</v>
      </c>
      <c r="D2367" s="1">
        <v>122</v>
      </c>
      <c r="E2367">
        <v>180</v>
      </c>
      <c r="F2367">
        <v>230</v>
      </c>
      <c r="G2367">
        <v>280</v>
      </c>
      <c r="H2367">
        <v>300</v>
      </c>
    </row>
    <row r="2368" spans="1:8" x14ac:dyDescent="0.25">
      <c r="A2368" s="10">
        <v>2916</v>
      </c>
      <c r="B2368" s="1" t="s">
        <v>2960</v>
      </c>
      <c r="C2368" s="2" t="s">
        <v>2695</v>
      </c>
      <c r="D2368" s="1">
        <v>122</v>
      </c>
      <c r="E2368">
        <v>180</v>
      </c>
      <c r="F2368">
        <v>230</v>
      </c>
      <c r="G2368">
        <v>280</v>
      </c>
      <c r="H2368">
        <v>300</v>
      </c>
    </row>
    <row r="2369" spans="1:8" x14ac:dyDescent="0.25">
      <c r="A2369" s="10">
        <v>2917</v>
      </c>
      <c r="B2369" s="1" t="s">
        <v>2960</v>
      </c>
      <c r="C2369" s="2" t="s">
        <v>2696</v>
      </c>
      <c r="D2369" s="1">
        <v>122</v>
      </c>
      <c r="E2369">
        <v>180</v>
      </c>
      <c r="F2369">
        <v>230</v>
      </c>
      <c r="G2369">
        <v>280</v>
      </c>
      <c r="H2369">
        <v>300</v>
      </c>
    </row>
    <row r="2370" spans="1:8" x14ac:dyDescent="0.25">
      <c r="A2370" s="10">
        <v>2918</v>
      </c>
      <c r="B2370" s="1" t="s">
        <v>2960</v>
      </c>
      <c r="C2370" s="2" t="s">
        <v>2697</v>
      </c>
      <c r="D2370" s="1">
        <v>122</v>
      </c>
      <c r="E2370">
        <v>195</v>
      </c>
      <c r="F2370">
        <v>230</v>
      </c>
      <c r="G2370">
        <v>300</v>
      </c>
      <c r="H2370">
        <v>325</v>
      </c>
    </row>
    <row r="2372" spans="1:8" x14ac:dyDescent="0.25">
      <c r="A2372" s="10">
        <v>2919</v>
      </c>
      <c r="B2372" s="1" t="s">
        <v>2960</v>
      </c>
      <c r="C2372" s="2" t="s">
        <v>2698</v>
      </c>
      <c r="D2372" s="1">
        <v>122</v>
      </c>
      <c r="E2372">
        <v>95</v>
      </c>
      <c r="F2372">
        <f>SUM(E2372+20)</f>
        <v>115</v>
      </c>
      <c r="G2372">
        <v>150</v>
      </c>
      <c r="H2372">
        <v>157</v>
      </c>
    </row>
    <row r="2373" spans="1:8" x14ac:dyDescent="0.25">
      <c r="A2373" s="10">
        <v>2920</v>
      </c>
      <c r="B2373" s="1" t="s">
        <v>2960</v>
      </c>
      <c r="C2373" s="2" t="s">
        <v>2699</v>
      </c>
      <c r="D2373" s="1">
        <v>122</v>
      </c>
      <c r="E2373">
        <v>114</v>
      </c>
      <c r="F2373">
        <f>SUM(E2373+20)</f>
        <v>134</v>
      </c>
      <c r="G2373">
        <v>180</v>
      </c>
      <c r="H2373">
        <v>190</v>
      </c>
    </row>
    <row r="2374" spans="1:8" x14ac:dyDescent="0.25">
      <c r="A2374" s="10">
        <v>2921</v>
      </c>
      <c r="B2374" s="1" t="s">
        <v>2960</v>
      </c>
      <c r="C2374" s="2" t="s">
        <v>2700</v>
      </c>
      <c r="D2374" s="1">
        <v>122</v>
      </c>
      <c r="E2374">
        <v>95</v>
      </c>
      <c r="F2374">
        <f t="shared" ref="F2374:F2377" si="50">SUM(E2374+20)</f>
        <v>115</v>
      </c>
      <c r="G2374">
        <v>150</v>
      </c>
      <c r="H2374">
        <v>159</v>
      </c>
    </row>
    <row r="2375" spans="1:8" x14ac:dyDescent="0.25">
      <c r="A2375" s="10">
        <v>2922</v>
      </c>
      <c r="B2375" s="1" t="s">
        <v>2960</v>
      </c>
      <c r="C2375" s="2" t="s">
        <v>2701</v>
      </c>
      <c r="D2375" s="1">
        <v>122</v>
      </c>
      <c r="E2375">
        <v>95</v>
      </c>
      <c r="F2375">
        <f t="shared" si="50"/>
        <v>115</v>
      </c>
      <c r="G2375">
        <v>150</v>
      </c>
      <c r="H2375">
        <v>157</v>
      </c>
    </row>
    <row r="2376" spans="1:8" x14ac:dyDescent="0.25">
      <c r="A2376" s="10">
        <v>2923</v>
      </c>
      <c r="B2376" s="1" t="s">
        <v>2960</v>
      </c>
      <c r="C2376" s="2" t="s">
        <v>2702</v>
      </c>
      <c r="D2376" s="1">
        <v>122</v>
      </c>
      <c r="E2376">
        <v>95</v>
      </c>
      <c r="F2376">
        <f t="shared" si="50"/>
        <v>115</v>
      </c>
      <c r="G2376">
        <v>150</v>
      </c>
      <c r="H2376">
        <v>159</v>
      </c>
    </row>
    <row r="2377" spans="1:8" x14ac:dyDescent="0.25">
      <c r="A2377" s="10">
        <v>2924</v>
      </c>
      <c r="B2377" s="1" t="s">
        <v>2960</v>
      </c>
      <c r="C2377" s="2" t="s">
        <v>2703</v>
      </c>
      <c r="D2377" s="1">
        <v>122</v>
      </c>
      <c r="E2377">
        <v>95</v>
      </c>
      <c r="F2377">
        <f t="shared" si="50"/>
        <v>115</v>
      </c>
      <c r="G2377">
        <v>150</v>
      </c>
      <c r="H2377">
        <v>157</v>
      </c>
    </row>
    <row r="2379" spans="1:8" x14ac:dyDescent="0.25">
      <c r="A2379" s="10">
        <v>2925</v>
      </c>
      <c r="B2379" s="1" t="s">
        <v>2960</v>
      </c>
      <c r="C2379" s="2" t="s">
        <v>2704</v>
      </c>
      <c r="D2379" s="1">
        <v>122</v>
      </c>
      <c r="E2379">
        <v>90</v>
      </c>
      <c r="F2379">
        <f t="shared" ref="F2379:F2381" si="51">SUM(E2379+20)</f>
        <v>110</v>
      </c>
      <c r="G2379">
        <v>140</v>
      </c>
      <c r="H2379">
        <v>150</v>
      </c>
    </row>
    <row r="2380" spans="1:8" x14ac:dyDescent="0.25">
      <c r="A2380" s="10">
        <v>2926</v>
      </c>
      <c r="B2380" s="1" t="s">
        <v>2960</v>
      </c>
      <c r="C2380" s="2" t="s">
        <v>2705</v>
      </c>
      <c r="D2380" s="1">
        <v>122</v>
      </c>
      <c r="E2380">
        <v>165</v>
      </c>
      <c r="F2380">
        <f t="shared" si="51"/>
        <v>185</v>
      </c>
      <c r="G2380">
        <v>250</v>
      </c>
      <c r="H2380">
        <v>275</v>
      </c>
    </row>
    <row r="2381" spans="1:8" x14ac:dyDescent="0.25">
      <c r="A2381" s="10">
        <v>2927</v>
      </c>
      <c r="B2381" s="1" t="s">
        <v>2960</v>
      </c>
      <c r="C2381" s="2" t="s">
        <v>2706</v>
      </c>
      <c r="D2381" s="1">
        <v>122</v>
      </c>
      <c r="E2381">
        <v>90</v>
      </c>
      <c r="F2381">
        <f t="shared" si="51"/>
        <v>110</v>
      </c>
      <c r="G2381">
        <v>140</v>
      </c>
      <c r="H2381">
        <v>150</v>
      </c>
    </row>
    <row r="2383" spans="1:8" x14ac:dyDescent="0.25">
      <c r="A2383" s="10">
        <v>2928</v>
      </c>
      <c r="B2383" s="1" t="s">
        <v>2960</v>
      </c>
      <c r="C2383" s="2" t="s">
        <v>2713</v>
      </c>
      <c r="D2383" s="1">
        <v>122</v>
      </c>
      <c r="E2383">
        <v>130</v>
      </c>
      <c r="F2383">
        <f t="shared" ref="F2383:F2386" si="52">SUM(E2383+20)</f>
        <v>150</v>
      </c>
      <c r="G2383">
        <v>180</v>
      </c>
      <c r="H2383">
        <v>220</v>
      </c>
    </row>
    <row r="2384" spans="1:8" x14ac:dyDescent="0.25">
      <c r="A2384" s="10">
        <v>2929</v>
      </c>
      <c r="B2384" s="1" t="s">
        <v>2960</v>
      </c>
      <c r="C2384" s="2" t="s">
        <v>2714</v>
      </c>
      <c r="D2384" s="1">
        <v>122</v>
      </c>
      <c r="E2384">
        <v>100</v>
      </c>
      <c r="F2384">
        <f t="shared" si="52"/>
        <v>120</v>
      </c>
      <c r="G2384">
        <v>140</v>
      </c>
      <c r="H2384">
        <v>140</v>
      </c>
    </row>
    <row r="2385" spans="1:8" x14ac:dyDescent="0.25">
      <c r="A2385" s="10">
        <v>2930</v>
      </c>
      <c r="B2385" s="1" t="s">
        <v>2960</v>
      </c>
      <c r="C2385" s="2" t="s">
        <v>2715</v>
      </c>
      <c r="D2385" s="1">
        <v>122</v>
      </c>
      <c r="E2385">
        <v>220</v>
      </c>
      <c r="F2385">
        <f t="shared" si="52"/>
        <v>240</v>
      </c>
      <c r="G2385">
        <v>280</v>
      </c>
      <c r="H2385">
        <v>370</v>
      </c>
    </row>
    <row r="2386" spans="1:8" x14ac:dyDescent="0.25">
      <c r="A2386" s="10">
        <v>2931</v>
      </c>
      <c r="B2386" s="1" t="s">
        <v>2960</v>
      </c>
      <c r="C2386" s="2" t="s">
        <v>2716</v>
      </c>
      <c r="D2386" s="1">
        <v>122</v>
      </c>
      <c r="E2386">
        <v>130</v>
      </c>
      <c r="F2386">
        <f t="shared" si="52"/>
        <v>150</v>
      </c>
      <c r="G2386">
        <v>180</v>
      </c>
      <c r="H2386">
        <v>220</v>
      </c>
    </row>
    <row r="2388" spans="1:8" x14ac:dyDescent="0.25">
      <c r="A2388" s="10">
        <v>2932</v>
      </c>
      <c r="B2388" s="1" t="s">
        <v>2961</v>
      </c>
      <c r="C2388" s="2" t="s">
        <v>2707</v>
      </c>
      <c r="D2388" s="1" t="s">
        <v>3004</v>
      </c>
      <c r="E2388">
        <v>410</v>
      </c>
      <c r="F2388">
        <f t="shared" ref="F2388:F2390" si="53">SUM(E2388+20)</f>
        <v>430</v>
      </c>
      <c r="G2388">
        <v>550</v>
      </c>
      <c r="H2388">
        <v>630</v>
      </c>
    </row>
    <row r="2389" spans="1:8" x14ac:dyDescent="0.25">
      <c r="A2389" s="10">
        <v>2933</v>
      </c>
      <c r="B2389" s="1" t="s">
        <v>2961</v>
      </c>
      <c r="C2389" s="2" t="s">
        <v>2708</v>
      </c>
      <c r="D2389" s="1">
        <v>123</v>
      </c>
      <c r="E2389">
        <v>740</v>
      </c>
      <c r="F2389">
        <f t="shared" si="53"/>
        <v>760</v>
      </c>
      <c r="G2389">
        <v>950</v>
      </c>
      <c r="H2389">
        <v>1210</v>
      </c>
    </row>
    <row r="2390" spans="1:8" x14ac:dyDescent="0.25">
      <c r="A2390" s="10">
        <v>2934</v>
      </c>
      <c r="B2390" s="1" t="s">
        <v>2961</v>
      </c>
      <c r="C2390" s="2" t="s">
        <v>2712</v>
      </c>
      <c r="D2390" s="1">
        <v>123</v>
      </c>
      <c r="E2390">
        <v>1800</v>
      </c>
      <c r="F2390">
        <f t="shared" si="53"/>
        <v>1820</v>
      </c>
      <c r="G2390">
        <v>2300</v>
      </c>
      <c r="H2390">
        <v>2790</v>
      </c>
    </row>
    <row r="2392" spans="1:8" x14ac:dyDescent="0.25">
      <c r="A2392" s="10">
        <v>2935</v>
      </c>
      <c r="B2392" s="1" t="s">
        <v>2961</v>
      </c>
      <c r="C2392" s="2" t="s">
        <v>2709</v>
      </c>
      <c r="D2392" s="1">
        <v>123</v>
      </c>
    </row>
    <row r="2393" spans="1:8" x14ac:dyDescent="0.25">
      <c r="A2393" s="10">
        <v>2936</v>
      </c>
      <c r="B2393" s="1" t="s">
        <v>2961</v>
      </c>
      <c r="C2393" s="2" t="s">
        <v>2710</v>
      </c>
      <c r="D2393" s="1">
        <v>123</v>
      </c>
      <c r="E2393">
        <v>780</v>
      </c>
      <c r="F2393">
        <f t="shared" ref="F2393:F2394" si="54">SUM(E2393+20)</f>
        <v>800</v>
      </c>
      <c r="G2393">
        <v>1000</v>
      </c>
      <c r="H2393">
        <v>1300</v>
      </c>
    </row>
    <row r="2394" spans="1:8" x14ac:dyDescent="0.25">
      <c r="A2394" s="10">
        <v>2937</v>
      </c>
      <c r="B2394" s="1" t="s">
        <v>2961</v>
      </c>
      <c r="C2394" s="2" t="s">
        <v>2711</v>
      </c>
      <c r="D2394" s="1">
        <v>123</v>
      </c>
      <c r="E2394">
        <v>1675</v>
      </c>
      <c r="F2394">
        <f t="shared" si="54"/>
        <v>1695</v>
      </c>
      <c r="G2394">
        <v>2200</v>
      </c>
      <c r="H2394">
        <v>2790</v>
      </c>
    </row>
    <row r="2396" spans="1:8" x14ac:dyDescent="0.25">
      <c r="A2396" s="10">
        <v>2938</v>
      </c>
      <c r="B2396" s="1" t="s">
        <v>2962</v>
      </c>
      <c r="C2396" s="2" t="s">
        <v>2717</v>
      </c>
      <c r="D2396" s="1" t="s">
        <v>3005</v>
      </c>
      <c r="E2396">
        <v>650</v>
      </c>
      <c r="F2396">
        <f t="shared" ref="F2396:F2400" si="55">SUM(E2396+20)</f>
        <v>670</v>
      </c>
      <c r="G2396">
        <v>700</v>
      </c>
      <c r="H2396">
        <v>1090</v>
      </c>
    </row>
    <row r="2397" spans="1:8" x14ac:dyDescent="0.25">
      <c r="A2397" s="10">
        <v>2939</v>
      </c>
      <c r="B2397" s="1" t="s">
        <v>2962</v>
      </c>
      <c r="C2397" s="2" t="s">
        <v>2718</v>
      </c>
      <c r="D2397" s="1">
        <v>124</v>
      </c>
      <c r="E2397">
        <v>650</v>
      </c>
      <c r="F2397">
        <f t="shared" si="55"/>
        <v>670</v>
      </c>
      <c r="G2397">
        <v>700</v>
      </c>
      <c r="H2397">
        <v>1090</v>
      </c>
    </row>
    <row r="2398" spans="1:8" x14ac:dyDescent="0.25">
      <c r="A2398" s="10">
        <v>2940</v>
      </c>
      <c r="B2398" s="1" t="s">
        <v>2962</v>
      </c>
      <c r="C2398" s="2" t="s">
        <v>2719</v>
      </c>
      <c r="D2398" s="1">
        <v>124</v>
      </c>
      <c r="E2398">
        <v>650</v>
      </c>
      <c r="F2398">
        <f t="shared" si="55"/>
        <v>670</v>
      </c>
      <c r="G2398">
        <v>700</v>
      </c>
      <c r="H2398">
        <v>1090</v>
      </c>
    </row>
    <row r="2399" spans="1:8" x14ac:dyDescent="0.25">
      <c r="A2399" s="10">
        <v>2941</v>
      </c>
      <c r="B2399" s="1" t="s">
        <v>2962</v>
      </c>
      <c r="C2399" s="2" t="s">
        <v>2720</v>
      </c>
      <c r="D2399" s="1">
        <v>124</v>
      </c>
      <c r="E2399">
        <v>650</v>
      </c>
      <c r="F2399">
        <f t="shared" si="55"/>
        <v>670</v>
      </c>
      <c r="G2399">
        <v>700</v>
      </c>
      <c r="H2399">
        <v>1090</v>
      </c>
    </row>
    <row r="2400" spans="1:8" x14ac:dyDescent="0.25">
      <c r="A2400" s="10">
        <v>2942</v>
      </c>
      <c r="B2400" s="1" t="s">
        <v>2962</v>
      </c>
      <c r="C2400" s="2" t="s">
        <v>2721</v>
      </c>
      <c r="D2400" s="1">
        <v>124</v>
      </c>
      <c r="E2400">
        <v>650</v>
      </c>
      <c r="F2400">
        <f t="shared" si="55"/>
        <v>670</v>
      </c>
      <c r="G2400">
        <v>700</v>
      </c>
      <c r="H2400">
        <v>1090</v>
      </c>
    </row>
    <row r="2402" spans="1:8" x14ac:dyDescent="0.25">
      <c r="A2402" s="10">
        <v>2943</v>
      </c>
      <c r="B2402" s="1" t="s">
        <v>2963</v>
      </c>
      <c r="C2402" s="2" t="s">
        <v>2722</v>
      </c>
      <c r="D2402" s="1">
        <v>124</v>
      </c>
      <c r="E2402">
        <v>510</v>
      </c>
      <c r="F2402">
        <f t="shared" ref="F2402:F2405" si="56">SUM(E2402+20)</f>
        <v>530</v>
      </c>
      <c r="G2402">
        <v>600</v>
      </c>
      <c r="H2402">
        <v>850</v>
      </c>
    </row>
    <row r="2403" spans="1:8" x14ac:dyDescent="0.25">
      <c r="A2403" s="10">
        <v>2944</v>
      </c>
      <c r="B2403" s="1" t="s">
        <v>2963</v>
      </c>
      <c r="C2403" s="2" t="s">
        <v>2723</v>
      </c>
      <c r="D2403" s="1">
        <v>124</v>
      </c>
      <c r="E2403">
        <v>414</v>
      </c>
      <c r="F2403">
        <f t="shared" si="56"/>
        <v>434</v>
      </c>
      <c r="G2403">
        <v>500</v>
      </c>
      <c r="H2403">
        <v>690</v>
      </c>
    </row>
    <row r="2404" spans="1:8" x14ac:dyDescent="0.25">
      <c r="A2404" s="10">
        <v>2945</v>
      </c>
      <c r="B2404" s="1" t="s">
        <v>2963</v>
      </c>
      <c r="C2404" s="2" t="s">
        <v>2724</v>
      </c>
      <c r="D2404" s="1">
        <v>124</v>
      </c>
      <c r="E2404">
        <v>414</v>
      </c>
      <c r="F2404">
        <f t="shared" si="56"/>
        <v>434</v>
      </c>
      <c r="G2404">
        <v>500</v>
      </c>
      <c r="H2404">
        <v>690</v>
      </c>
    </row>
    <row r="2405" spans="1:8" x14ac:dyDescent="0.25">
      <c r="A2405" s="10">
        <v>2946</v>
      </c>
      <c r="B2405" s="1" t="s">
        <v>2963</v>
      </c>
      <c r="C2405" s="2" t="s">
        <v>2725</v>
      </c>
      <c r="D2405" s="1">
        <v>124</v>
      </c>
      <c r="E2405">
        <v>450</v>
      </c>
      <c r="F2405">
        <f t="shared" si="56"/>
        <v>470</v>
      </c>
      <c r="G2405">
        <v>550</v>
      </c>
      <c r="H2405">
        <v>750</v>
      </c>
    </row>
    <row r="2407" spans="1:8" x14ac:dyDescent="0.25">
      <c r="A2407" s="10">
        <v>2947</v>
      </c>
      <c r="B2407" s="1" t="s">
        <v>2964</v>
      </c>
      <c r="C2407" s="2" t="s">
        <v>2726</v>
      </c>
      <c r="D2407" s="1" t="s">
        <v>3006</v>
      </c>
      <c r="E2407">
        <v>600</v>
      </c>
      <c r="F2407">
        <f t="shared" ref="F2407:F2412" si="57">SUM(E2407+20)</f>
        <v>620</v>
      </c>
      <c r="G2407">
        <v>700</v>
      </c>
      <c r="H2407">
        <v>930</v>
      </c>
    </row>
    <row r="2408" spans="1:8" x14ac:dyDescent="0.25">
      <c r="A2408" s="10">
        <v>2948</v>
      </c>
      <c r="B2408" s="1" t="s">
        <v>2964</v>
      </c>
      <c r="C2408" s="2" t="s">
        <v>2727</v>
      </c>
      <c r="D2408" s="1">
        <v>125</v>
      </c>
      <c r="E2408">
        <v>920</v>
      </c>
      <c r="F2408">
        <f t="shared" si="57"/>
        <v>940</v>
      </c>
      <c r="G2408">
        <v>1200</v>
      </c>
      <c r="H2408">
        <v>1540</v>
      </c>
    </row>
    <row r="2409" spans="1:8" x14ac:dyDescent="0.25">
      <c r="A2409" s="10">
        <v>2949</v>
      </c>
      <c r="B2409" s="1" t="s">
        <v>2964</v>
      </c>
      <c r="C2409" s="2" t="s">
        <v>2728</v>
      </c>
      <c r="D2409" s="1">
        <v>125</v>
      </c>
      <c r="E2409">
        <v>1517</v>
      </c>
      <c r="F2409">
        <f t="shared" si="57"/>
        <v>1537</v>
      </c>
      <c r="G2409">
        <v>1800</v>
      </c>
      <c r="H2409">
        <v>2690</v>
      </c>
    </row>
    <row r="2410" spans="1:8" x14ac:dyDescent="0.25">
      <c r="A2410" s="10">
        <v>2950</v>
      </c>
      <c r="B2410" s="1" t="s">
        <v>2964</v>
      </c>
      <c r="C2410" s="2" t="s">
        <v>2729</v>
      </c>
      <c r="D2410" s="1">
        <v>125</v>
      </c>
      <c r="E2410">
        <v>600</v>
      </c>
      <c r="F2410">
        <f t="shared" si="57"/>
        <v>620</v>
      </c>
      <c r="G2410">
        <v>700</v>
      </c>
      <c r="H2410">
        <v>930</v>
      </c>
    </row>
    <row r="2411" spans="1:8" x14ac:dyDescent="0.25">
      <c r="A2411" s="10">
        <v>2951</v>
      </c>
      <c r="B2411" s="1" t="s">
        <v>2964</v>
      </c>
      <c r="C2411" s="2" t="s">
        <v>2730</v>
      </c>
      <c r="D2411" s="1">
        <v>125</v>
      </c>
      <c r="E2411">
        <v>920</v>
      </c>
      <c r="F2411">
        <f t="shared" si="57"/>
        <v>940</v>
      </c>
      <c r="G2411">
        <v>1200</v>
      </c>
      <c r="H2411">
        <v>1490</v>
      </c>
    </row>
    <row r="2412" spans="1:8" x14ac:dyDescent="0.25">
      <c r="A2412" s="10">
        <v>2952</v>
      </c>
      <c r="B2412" s="1" t="s">
        <v>2964</v>
      </c>
      <c r="C2412" s="2" t="s">
        <v>2731</v>
      </c>
      <c r="D2412" s="1">
        <v>125</v>
      </c>
      <c r="E2412">
        <v>1517</v>
      </c>
      <c r="F2412">
        <f t="shared" si="57"/>
        <v>1537</v>
      </c>
      <c r="G2412">
        <v>1800</v>
      </c>
      <c r="H2412">
        <v>2690</v>
      </c>
    </row>
    <row r="2414" spans="1:8" x14ac:dyDescent="0.25">
      <c r="A2414" s="10">
        <v>2953</v>
      </c>
      <c r="B2414" s="1" t="s">
        <v>2740</v>
      </c>
      <c r="C2414" s="2" t="s">
        <v>2734</v>
      </c>
      <c r="D2414" s="1" t="s">
        <v>3007</v>
      </c>
      <c r="E2414">
        <v>480</v>
      </c>
      <c r="G2414">
        <v>680</v>
      </c>
      <c r="H2414">
        <v>790</v>
      </c>
    </row>
    <row r="2415" spans="1:8" x14ac:dyDescent="0.25">
      <c r="A2415" s="10">
        <v>2954</v>
      </c>
      <c r="B2415" s="1" t="s">
        <v>2740</v>
      </c>
      <c r="C2415" s="2" t="s">
        <v>2735</v>
      </c>
      <c r="D2415" s="1">
        <v>126</v>
      </c>
      <c r="E2415">
        <v>480</v>
      </c>
      <c r="G2415">
        <v>680</v>
      </c>
      <c r="H2415">
        <v>1130</v>
      </c>
    </row>
    <row r="2416" spans="1:8" x14ac:dyDescent="0.25">
      <c r="A2416" s="10">
        <v>2955</v>
      </c>
      <c r="B2416" s="1" t="s">
        <v>2740</v>
      </c>
      <c r="C2416" s="2" t="s">
        <v>2736</v>
      </c>
      <c r="D2416" s="1">
        <v>126</v>
      </c>
      <c r="E2416">
        <v>480</v>
      </c>
      <c r="G2416">
        <v>680</v>
      </c>
      <c r="H2416">
        <v>740</v>
      </c>
    </row>
    <row r="2417" spans="1:8" x14ac:dyDescent="0.25">
      <c r="A2417" s="10">
        <v>2956</v>
      </c>
      <c r="B2417" s="1" t="s">
        <v>2740</v>
      </c>
      <c r="C2417" s="2" t="s">
        <v>2737</v>
      </c>
      <c r="D2417" s="1">
        <v>126</v>
      </c>
      <c r="E2417">
        <v>480</v>
      </c>
      <c r="G2417">
        <v>750</v>
      </c>
      <c r="H2417">
        <v>1450</v>
      </c>
    </row>
    <row r="2418" spans="1:8" x14ac:dyDescent="0.25">
      <c r="B2418" s="1"/>
      <c r="C2418" s="2"/>
    </row>
    <row r="2419" spans="1:8" x14ac:dyDescent="0.25">
      <c r="A2419" s="10">
        <v>2957</v>
      </c>
      <c r="B2419" s="1" t="s">
        <v>2748</v>
      </c>
      <c r="C2419" s="2" t="s">
        <v>2738</v>
      </c>
      <c r="D2419" s="1">
        <v>126</v>
      </c>
      <c r="E2419">
        <v>1220</v>
      </c>
      <c r="G2419">
        <v>1500</v>
      </c>
      <c r="H2419">
        <v>2650</v>
      </c>
    </row>
    <row r="2420" spans="1:8" x14ac:dyDescent="0.25">
      <c r="A2420" s="10">
        <v>2958</v>
      </c>
      <c r="B2420" s="1" t="s">
        <v>2748</v>
      </c>
      <c r="C2420" s="2" t="s">
        <v>2739</v>
      </c>
      <c r="D2420" s="1">
        <v>126</v>
      </c>
      <c r="E2420">
        <v>2440</v>
      </c>
      <c r="G2420">
        <v>3000</v>
      </c>
      <c r="H2420">
        <v>4500</v>
      </c>
    </row>
    <row r="2421" spans="1:8" x14ac:dyDescent="0.25">
      <c r="B2421" s="1"/>
      <c r="C2421" s="2"/>
    </row>
    <row r="2422" spans="1:8" x14ac:dyDescent="0.25">
      <c r="A2422" s="10">
        <v>2959</v>
      </c>
      <c r="B2422" s="1" t="s">
        <v>2740</v>
      </c>
      <c r="C2422" s="2" t="s">
        <v>2741</v>
      </c>
      <c r="D2422" s="1">
        <v>126</v>
      </c>
      <c r="E2422">
        <v>1500</v>
      </c>
      <c r="F2422">
        <v>1700</v>
      </c>
      <c r="G2422">
        <v>2000</v>
      </c>
      <c r="H2422">
        <v>2790</v>
      </c>
    </row>
    <row r="2423" spans="1:8" x14ac:dyDescent="0.25">
      <c r="A2423" s="10">
        <v>2960</v>
      </c>
      <c r="B2423" s="1" t="s">
        <v>2740</v>
      </c>
      <c r="C2423" s="2" t="s">
        <v>2742</v>
      </c>
      <c r="D2423" s="1">
        <v>126</v>
      </c>
      <c r="E2423">
        <v>2950</v>
      </c>
      <c r="F2423">
        <v>3200</v>
      </c>
      <c r="G2423">
        <v>3975</v>
      </c>
      <c r="H2423">
        <v>6300</v>
      </c>
    </row>
    <row r="2424" spans="1:8" x14ac:dyDescent="0.25">
      <c r="A2424" s="10">
        <v>2961</v>
      </c>
      <c r="B2424" s="1" t="s">
        <v>2740</v>
      </c>
      <c r="C2424" s="2" t="s">
        <v>2743</v>
      </c>
      <c r="D2424" s="1">
        <v>126</v>
      </c>
      <c r="E2424">
        <v>5550</v>
      </c>
      <c r="F2424">
        <v>6000</v>
      </c>
      <c r="G2424">
        <v>6975</v>
      </c>
      <c r="H2424">
        <v>11100</v>
      </c>
    </row>
    <row r="2425" spans="1:8" x14ac:dyDescent="0.25">
      <c r="B2425" s="1"/>
      <c r="C2425" s="2"/>
    </row>
    <row r="2426" spans="1:8" x14ac:dyDescent="0.25">
      <c r="A2426" s="10">
        <v>2962</v>
      </c>
      <c r="B2426" s="1" t="s">
        <v>2744</v>
      </c>
      <c r="C2426" s="2" t="s">
        <v>2745</v>
      </c>
      <c r="D2426" s="1">
        <v>126</v>
      </c>
      <c r="E2426">
        <v>1417</v>
      </c>
      <c r="G2426">
        <v>1750</v>
      </c>
      <c r="H2426">
        <v>2545</v>
      </c>
    </row>
    <row r="2427" spans="1:8" x14ac:dyDescent="0.25">
      <c r="A2427" s="10">
        <v>2963</v>
      </c>
      <c r="B2427" s="1" t="s">
        <v>2744</v>
      </c>
      <c r="C2427" s="2" t="s">
        <v>2746</v>
      </c>
      <c r="D2427" s="1">
        <v>126</v>
      </c>
      <c r="E2427">
        <v>2834</v>
      </c>
      <c r="G2427">
        <v>3500</v>
      </c>
      <c r="H2427">
        <v>4810</v>
      </c>
    </row>
    <row r="2428" spans="1:8" x14ac:dyDescent="0.25">
      <c r="A2428" s="10">
        <v>2964</v>
      </c>
      <c r="B2428" s="1" t="s">
        <v>2744</v>
      </c>
      <c r="C2428" s="2" t="s">
        <v>2747</v>
      </c>
      <c r="D2428" s="1">
        <v>126</v>
      </c>
      <c r="E2428">
        <v>5668</v>
      </c>
      <c r="G2428">
        <v>6500</v>
      </c>
      <c r="H2428">
        <v>9450</v>
      </c>
    </row>
    <row r="2430" spans="1:8" x14ac:dyDescent="0.25">
      <c r="A2430" s="10">
        <v>2965</v>
      </c>
      <c r="B2430" t="s">
        <v>667</v>
      </c>
      <c r="C2430" s="2" t="s">
        <v>3016</v>
      </c>
      <c r="D2430" s="1">
        <v>60</v>
      </c>
      <c r="E2430">
        <v>10600</v>
      </c>
      <c r="F2430">
        <v>11800</v>
      </c>
      <c r="G2430">
        <v>11950</v>
      </c>
      <c r="H2430">
        <v>12250</v>
      </c>
    </row>
    <row r="2431" spans="1:8" x14ac:dyDescent="0.25">
      <c r="A2431" s="13"/>
    </row>
    <row r="2432" spans="1:8" x14ac:dyDescent="0.25">
      <c r="A2432" s="10">
        <v>2966</v>
      </c>
      <c r="B2432" s="1" t="s">
        <v>3041</v>
      </c>
      <c r="C2432" s="3" t="s">
        <v>3048</v>
      </c>
      <c r="D2432" s="2" t="s">
        <v>3378</v>
      </c>
      <c r="E2432" s="2">
        <v>1750</v>
      </c>
      <c r="F2432">
        <v>1900</v>
      </c>
      <c r="G2432">
        <v>1950</v>
      </c>
      <c r="H2432">
        <v>2520</v>
      </c>
    </row>
    <row r="2433" spans="1:8" x14ac:dyDescent="0.25">
      <c r="A2433" s="10">
        <v>2967</v>
      </c>
      <c r="B2433" s="1" t="s">
        <v>3041</v>
      </c>
      <c r="C2433" s="3" t="s">
        <v>3049</v>
      </c>
      <c r="D2433" s="2">
        <v>128</v>
      </c>
      <c r="E2433" s="2">
        <v>2200</v>
      </c>
      <c r="F2433">
        <v>2400</v>
      </c>
      <c r="G2433">
        <v>2500</v>
      </c>
      <c r="H2433">
        <v>2760</v>
      </c>
    </row>
    <row r="2434" spans="1:8" x14ac:dyDescent="0.25">
      <c r="A2434" s="10">
        <v>2968</v>
      </c>
      <c r="B2434" s="1" t="s">
        <v>3041</v>
      </c>
      <c r="C2434" s="3" t="s">
        <v>3068</v>
      </c>
      <c r="D2434" s="2">
        <v>128</v>
      </c>
      <c r="E2434" s="2">
        <v>1905</v>
      </c>
      <c r="F2434">
        <v>1950</v>
      </c>
      <c r="G2434">
        <v>2080</v>
      </c>
      <c r="H2434">
        <v>2095</v>
      </c>
    </row>
    <row r="2435" spans="1:8" x14ac:dyDescent="0.25">
      <c r="A2435" s="10">
        <v>2969</v>
      </c>
      <c r="B2435" s="1" t="s">
        <v>4027</v>
      </c>
      <c r="C2435" s="3" t="s">
        <v>3050</v>
      </c>
      <c r="D2435" s="2">
        <v>128</v>
      </c>
      <c r="E2435" s="2">
        <v>2290</v>
      </c>
      <c r="F2435">
        <f>SUM(E2435+100)</f>
        <v>2390</v>
      </c>
      <c r="G2435">
        <v>2500</v>
      </c>
      <c r="H2435">
        <v>2520</v>
      </c>
    </row>
    <row r="2436" spans="1:8" x14ac:dyDescent="0.25">
      <c r="A2436" s="10">
        <v>2970</v>
      </c>
      <c r="B2436" s="1" t="s">
        <v>3041</v>
      </c>
      <c r="C2436" s="3" t="s">
        <v>3051</v>
      </c>
      <c r="D2436" s="2">
        <v>128</v>
      </c>
      <c r="E2436" s="2">
        <v>1905</v>
      </c>
      <c r="F2436">
        <f t="shared" ref="F2436:F2459" si="58">SUM(E2436+100)</f>
        <v>2005</v>
      </c>
      <c r="G2436">
        <v>2080</v>
      </c>
      <c r="H2436">
        <v>2095</v>
      </c>
    </row>
    <row r="2437" spans="1:8" x14ac:dyDescent="0.25">
      <c r="A2437" s="10">
        <v>2971</v>
      </c>
      <c r="B2437" s="1" t="s">
        <v>3041</v>
      </c>
      <c r="C2437" s="3" t="s">
        <v>3052</v>
      </c>
      <c r="D2437" s="2">
        <v>128</v>
      </c>
      <c r="E2437" s="2">
        <v>2225</v>
      </c>
      <c r="F2437">
        <f t="shared" si="58"/>
        <v>2325</v>
      </c>
      <c r="G2437">
        <v>2450</v>
      </c>
      <c r="H2437">
        <v>2450</v>
      </c>
    </row>
    <row r="2438" spans="1:8" x14ac:dyDescent="0.25">
      <c r="A2438" s="10">
        <v>2972</v>
      </c>
      <c r="B2438" s="1" t="s">
        <v>3041</v>
      </c>
      <c r="C2438" s="3" t="s">
        <v>3069</v>
      </c>
      <c r="D2438" s="2">
        <v>128</v>
      </c>
      <c r="E2438" s="2">
        <v>2155</v>
      </c>
      <c r="F2438">
        <f t="shared" si="58"/>
        <v>2255</v>
      </c>
      <c r="G2438">
        <v>2350</v>
      </c>
      <c r="H2438">
        <v>2370</v>
      </c>
    </row>
    <row r="2439" spans="1:8" x14ac:dyDescent="0.25">
      <c r="A2439" s="10">
        <v>2973</v>
      </c>
      <c r="B2439" s="1" t="s">
        <v>3041</v>
      </c>
      <c r="C2439" s="3" t="s">
        <v>3053</v>
      </c>
      <c r="D2439" s="2">
        <v>128</v>
      </c>
      <c r="E2439" s="2">
        <v>2330</v>
      </c>
      <c r="F2439">
        <f t="shared" si="58"/>
        <v>2430</v>
      </c>
      <c r="G2439">
        <v>2550</v>
      </c>
      <c r="H2439">
        <v>2565</v>
      </c>
    </row>
    <row r="2440" spans="1:8" x14ac:dyDescent="0.25">
      <c r="A2440" s="10">
        <v>2974</v>
      </c>
      <c r="B2440" s="1" t="s">
        <v>3041</v>
      </c>
      <c r="C2440" s="3" t="s">
        <v>3054</v>
      </c>
      <c r="D2440" s="2">
        <v>128</v>
      </c>
      <c r="E2440" s="2">
        <v>2365</v>
      </c>
      <c r="F2440">
        <f t="shared" si="58"/>
        <v>2465</v>
      </c>
      <c r="G2440">
        <v>2600</v>
      </c>
      <c r="H2440">
        <v>2600</v>
      </c>
    </row>
    <row r="2441" spans="1:8" x14ac:dyDescent="0.25">
      <c r="A2441" s="10">
        <v>2975</v>
      </c>
      <c r="B2441" s="1" t="s">
        <v>3041</v>
      </c>
      <c r="C2441" s="3" t="s">
        <v>3055</v>
      </c>
      <c r="D2441" s="2">
        <v>128</v>
      </c>
      <c r="E2441" s="2">
        <v>2330</v>
      </c>
      <c r="F2441">
        <f t="shared" si="58"/>
        <v>2430</v>
      </c>
      <c r="G2441">
        <v>2500</v>
      </c>
      <c r="H2441">
        <v>2565</v>
      </c>
    </row>
    <row r="2442" spans="1:8" x14ac:dyDescent="0.25">
      <c r="A2442" s="10">
        <v>2976</v>
      </c>
      <c r="B2442" s="1" t="s">
        <v>3041</v>
      </c>
      <c r="C2442" s="3" t="s">
        <v>3056</v>
      </c>
      <c r="D2442" s="2">
        <v>128</v>
      </c>
      <c r="E2442" s="2">
        <v>2365</v>
      </c>
      <c r="F2442">
        <f t="shared" si="58"/>
        <v>2465</v>
      </c>
      <c r="G2442">
        <v>2600</v>
      </c>
      <c r="H2442">
        <v>2600</v>
      </c>
    </row>
    <row r="2443" spans="1:8" x14ac:dyDescent="0.25">
      <c r="A2443" s="10">
        <v>2977</v>
      </c>
      <c r="B2443" s="1" t="s">
        <v>3041</v>
      </c>
      <c r="C2443" s="3" t="s">
        <v>3057</v>
      </c>
      <c r="D2443" s="2">
        <v>128</v>
      </c>
      <c r="E2443" s="2">
        <v>2330</v>
      </c>
      <c r="F2443">
        <f t="shared" si="58"/>
        <v>2430</v>
      </c>
      <c r="G2443">
        <v>2550</v>
      </c>
      <c r="H2443">
        <v>2565</v>
      </c>
    </row>
    <row r="2444" spans="1:8" x14ac:dyDescent="0.25">
      <c r="A2444" s="10">
        <v>2978</v>
      </c>
      <c r="B2444" s="1" t="s">
        <v>3041</v>
      </c>
      <c r="C2444" s="3" t="s">
        <v>3058</v>
      </c>
      <c r="D2444" s="2">
        <v>128</v>
      </c>
      <c r="E2444" s="2">
        <v>2365</v>
      </c>
      <c r="F2444">
        <f t="shared" si="58"/>
        <v>2465</v>
      </c>
      <c r="G2444">
        <v>2600</v>
      </c>
      <c r="H2444">
        <v>2600</v>
      </c>
    </row>
    <row r="2445" spans="1:8" x14ac:dyDescent="0.25">
      <c r="A2445" s="10">
        <v>2979</v>
      </c>
      <c r="B2445" s="1" t="s">
        <v>3041</v>
      </c>
      <c r="C2445" s="3" t="s">
        <v>3059</v>
      </c>
      <c r="D2445" s="2">
        <v>128</v>
      </c>
      <c r="E2445" s="2">
        <v>2385</v>
      </c>
      <c r="F2445">
        <f t="shared" si="58"/>
        <v>2485</v>
      </c>
      <c r="G2445">
        <v>2600</v>
      </c>
      <c r="H2445">
        <v>2625</v>
      </c>
    </row>
    <row r="2446" spans="1:8" x14ac:dyDescent="0.25">
      <c r="A2446" s="10">
        <v>2980</v>
      </c>
      <c r="B2446" s="1" t="s">
        <v>3041</v>
      </c>
      <c r="C2446" s="3" t="s">
        <v>3060</v>
      </c>
      <c r="D2446" s="2">
        <v>128</v>
      </c>
      <c r="E2446" s="2">
        <v>2465</v>
      </c>
      <c r="F2446">
        <f t="shared" si="58"/>
        <v>2565</v>
      </c>
      <c r="G2446">
        <v>2700</v>
      </c>
      <c r="H2446">
        <v>2710</v>
      </c>
    </row>
    <row r="2447" spans="1:8" x14ac:dyDescent="0.25">
      <c r="A2447" s="10">
        <v>2981</v>
      </c>
      <c r="B2447" s="1" t="s">
        <v>3041</v>
      </c>
      <c r="C2447" s="3" t="s">
        <v>3061</v>
      </c>
      <c r="D2447" s="2">
        <v>128</v>
      </c>
      <c r="E2447" s="2">
        <v>3560</v>
      </c>
      <c r="F2447">
        <f t="shared" si="58"/>
        <v>3660</v>
      </c>
      <c r="G2447">
        <v>3900</v>
      </c>
      <c r="H2447">
        <v>3915</v>
      </c>
    </row>
    <row r="2448" spans="1:8" x14ac:dyDescent="0.25">
      <c r="A2448" s="10">
        <v>2982</v>
      </c>
      <c r="B2448" s="1" t="s">
        <v>3041</v>
      </c>
      <c r="C2448" s="3" t="s">
        <v>3062</v>
      </c>
      <c r="D2448" s="2">
        <v>128</v>
      </c>
      <c r="E2448" s="2">
        <v>2010</v>
      </c>
      <c r="F2448">
        <f t="shared" si="58"/>
        <v>2110</v>
      </c>
      <c r="G2448">
        <v>2200</v>
      </c>
      <c r="H2448">
        <v>2210</v>
      </c>
    </row>
    <row r="2449" spans="1:8" x14ac:dyDescent="0.25">
      <c r="A2449" s="10">
        <v>2983</v>
      </c>
      <c r="B2449" s="1" t="s">
        <v>3041</v>
      </c>
      <c r="C2449" s="3" t="s">
        <v>3063</v>
      </c>
      <c r="D2449" s="2">
        <v>128</v>
      </c>
      <c r="E2449" s="2">
        <v>2145</v>
      </c>
      <c r="F2449">
        <f t="shared" si="58"/>
        <v>2245</v>
      </c>
      <c r="G2449">
        <v>2350</v>
      </c>
      <c r="H2449">
        <v>2360</v>
      </c>
    </row>
    <row r="2450" spans="1:8" x14ac:dyDescent="0.25">
      <c r="A2450" s="10">
        <v>2984</v>
      </c>
      <c r="B2450" s="1" t="s">
        <v>3041</v>
      </c>
      <c r="C2450" s="3" t="s">
        <v>3064</v>
      </c>
      <c r="D2450" s="2">
        <v>128</v>
      </c>
      <c r="E2450" s="2">
        <v>2120</v>
      </c>
      <c r="F2450">
        <f t="shared" si="58"/>
        <v>2220</v>
      </c>
      <c r="G2450">
        <v>2300</v>
      </c>
      <c r="H2450">
        <v>2330</v>
      </c>
    </row>
    <row r="2451" spans="1:8" x14ac:dyDescent="0.25">
      <c r="A2451" s="10">
        <v>2985</v>
      </c>
      <c r="B2451" s="1" t="s">
        <v>3041</v>
      </c>
      <c r="C2451" s="3" t="s">
        <v>3065</v>
      </c>
      <c r="D2451" s="2">
        <v>128</v>
      </c>
      <c r="E2451" s="2">
        <v>2120</v>
      </c>
      <c r="F2451">
        <f t="shared" si="58"/>
        <v>2220</v>
      </c>
      <c r="G2451">
        <v>2300</v>
      </c>
      <c r="H2451">
        <v>2330</v>
      </c>
    </row>
    <row r="2452" spans="1:8" x14ac:dyDescent="0.25">
      <c r="A2452" s="10">
        <v>2986</v>
      </c>
      <c r="B2452" s="1" t="s">
        <v>3041</v>
      </c>
      <c r="C2452" s="3" t="s">
        <v>3066</v>
      </c>
      <c r="D2452" s="2">
        <v>128</v>
      </c>
      <c r="E2452" s="2">
        <v>1935</v>
      </c>
      <c r="F2452">
        <f t="shared" si="58"/>
        <v>2035</v>
      </c>
      <c r="G2452">
        <v>2100</v>
      </c>
      <c r="H2452">
        <v>2130</v>
      </c>
    </row>
    <row r="2453" spans="1:8" x14ac:dyDescent="0.25">
      <c r="A2453" s="10">
        <v>2987</v>
      </c>
      <c r="B2453" s="1" t="s">
        <v>3041</v>
      </c>
      <c r="C2453" s="3" t="s">
        <v>3067</v>
      </c>
      <c r="D2453" s="2">
        <v>128</v>
      </c>
      <c r="E2453" s="2">
        <v>1905</v>
      </c>
      <c r="F2453">
        <f t="shared" si="58"/>
        <v>2005</v>
      </c>
      <c r="G2453">
        <v>2080</v>
      </c>
      <c r="H2453">
        <v>2095</v>
      </c>
    </row>
    <row r="2454" spans="1:8" x14ac:dyDescent="0.25">
      <c r="A2454" s="10">
        <v>2988</v>
      </c>
      <c r="B2454" s="1" t="s">
        <v>3041</v>
      </c>
      <c r="C2454" s="3" t="s">
        <v>3047</v>
      </c>
      <c r="D2454" s="2">
        <v>128</v>
      </c>
      <c r="E2454" s="2">
        <v>1675</v>
      </c>
      <c r="F2454">
        <f t="shared" si="58"/>
        <v>1775</v>
      </c>
      <c r="G2454">
        <v>1800</v>
      </c>
      <c r="H2454">
        <v>1845</v>
      </c>
    </row>
    <row r="2455" spans="1:8" x14ac:dyDescent="0.25">
      <c r="A2455" s="10">
        <v>2989</v>
      </c>
      <c r="B2455" s="1" t="s">
        <v>3041</v>
      </c>
      <c r="C2455" s="3" t="s">
        <v>3046</v>
      </c>
      <c r="D2455" s="2">
        <v>128</v>
      </c>
      <c r="E2455" s="2">
        <v>1640</v>
      </c>
      <c r="F2455">
        <f t="shared" si="58"/>
        <v>1740</v>
      </c>
      <c r="G2455">
        <v>1800</v>
      </c>
      <c r="H2455">
        <v>1805</v>
      </c>
    </row>
    <row r="2456" spans="1:8" x14ac:dyDescent="0.25">
      <c r="A2456" s="10">
        <v>2990</v>
      </c>
      <c r="B2456" s="1" t="s">
        <v>3041</v>
      </c>
      <c r="C2456" s="3" t="s">
        <v>3045</v>
      </c>
      <c r="D2456" s="2">
        <v>128</v>
      </c>
      <c r="E2456" s="2">
        <v>1745</v>
      </c>
      <c r="F2456">
        <f t="shared" si="58"/>
        <v>1845</v>
      </c>
      <c r="G2456">
        <v>1900</v>
      </c>
      <c r="H2456">
        <v>1920</v>
      </c>
    </row>
    <row r="2457" spans="1:8" x14ac:dyDescent="0.25">
      <c r="A2457" s="10">
        <v>2991</v>
      </c>
      <c r="B2457" s="1" t="s">
        <v>3041</v>
      </c>
      <c r="C2457" s="3" t="s">
        <v>3044</v>
      </c>
      <c r="D2457" s="2">
        <v>128</v>
      </c>
      <c r="E2457" s="2">
        <v>1380</v>
      </c>
      <c r="F2457">
        <f t="shared" si="58"/>
        <v>1480</v>
      </c>
      <c r="G2457">
        <v>1500</v>
      </c>
      <c r="H2457">
        <v>1520</v>
      </c>
    </row>
    <row r="2458" spans="1:8" x14ac:dyDescent="0.25">
      <c r="A2458" s="10">
        <v>2992</v>
      </c>
      <c r="B2458" s="1" t="s">
        <v>3041</v>
      </c>
      <c r="C2458" s="3" t="s">
        <v>3043</v>
      </c>
      <c r="D2458" s="2">
        <v>128</v>
      </c>
      <c r="E2458" s="2">
        <v>1255</v>
      </c>
      <c r="F2458">
        <f t="shared" si="58"/>
        <v>1355</v>
      </c>
      <c r="G2458">
        <v>1350</v>
      </c>
      <c r="H2458">
        <v>1380</v>
      </c>
    </row>
    <row r="2459" spans="1:8" x14ac:dyDescent="0.25">
      <c r="A2459" s="10">
        <v>2993</v>
      </c>
      <c r="B2459" s="1" t="s">
        <v>3041</v>
      </c>
      <c r="C2459" s="3" t="s">
        <v>3042</v>
      </c>
      <c r="D2459" s="2">
        <v>128</v>
      </c>
      <c r="E2459" s="2">
        <v>3795</v>
      </c>
      <c r="F2459">
        <f t="shared" si="58"/>
        <v>3895</v>
      </c>
      <c r="G2459">
        <v>4150</v>
      </c>
      <c r="H2459">
        <v>4175</v>
      </c>
    </row>
    <row r="2460" spans="1:8" x14ac:dyDescent="0.25">
      <c r="A2460"/>
      <c r="B2460" s="1"/>
      <c r="C2460" s="2"/>
    </row>
    <row r="2461" spans="1:8" x14ac:dyDescent="0.25">
      <c r="A2461" s="10">
        <v>2994</v>
      </c>
      <c r="B2461" s="1" t="s">
        <v>3103</v>
      </c>
      <c r="C2461" s="2" t="s">
        <v>3070</v>
      </c>
      <c r="D2461" s="1" t="s">
        <v>3379</v>
      </c>
      <c r="E2461" s="2">
        <v>865</v>
      </c>
      <c r="F2461">
        <f>SUM(E2461+50)</f>
        <v>915</v>
      </c>
      <c r="G2461">
        <v>950</v>
      </c>
      <c r="H2461">
        <v>950</v>
      </c>
    </row>
    <row r="2462" spans="1:8" x14ac:dyDescent="0.25">
      <c r="A2462" s="10">
        <v>2995</v>
      </c>
      <c r="B2462" s="1" t="s">
        <v>3103</v>
      </c>
      <c r="C2462" s="2" t="s">
        <v>3071</v>
      </c>
      <c r="D2462" s="1">
        <v>129</v>
      </c>
      <c r="E2462" s="2">
        <v>865</v>
      </c>
      <c r="F2462">
        <f t="shared" ref="F2462:F2493" si="59">SUM(E2462+50)</f>
        <v>915</v>
      </c>
      <c r="G2462">
        <v>950</v>
      </c>
      <c r="H2462">
        <v>950</v>
      </c>
    </row>
    <row r="2463" spans="1:8" x14ac:dyDescent="0.25">
      <c r="A2463" s="10">
        <v>2996</v>
      </c>
      <c r="B2463" s="1" t="s">
        <v>3103</v>
      </c>
      <c r="C2463" s="2" t="s">
        <v>3072</v>
      </c>
      <c r="D2463" s="1">
        <v>129</v>
      </c>
      <c r="E2463" s="2">
        <v>840</v>
      </c>
      <c r="F2463">
        <f t="shared" si="59"/>
        <v>890</v>
      </c>
      <c r="G2463">
        <v>920</v>
      </c>
      <c r="H2463">
        <v>925</v>
      </c>
    </row>
    <row r="2464" spans="1:8" x14ac:dyDescent="0.25">
      <c r="A2464" s="10">
        <v>2997</v>
      </c>
      <c r="B2464" s="1" t="s">
        <v>3103</v>
      </c>
      <c r="C2464" s="2" t="s">
        <v>3073</v>
      </c>
      <c r="D2464" s="1">
        <v>129</v>
      </c>
      <c r="E2464" s="2">
        <v>840</v>
      </c>
      <c r="F2464">
        <f t="shared" si="59"/>
        <v>890</v>
      </c>
      <c r="G2464">
        <v>920</v>
      </c>
      <c r="H2464">
        <v>925</v>
      </c>
    </row>
    <row r="2465" spans="1:8" x14ac:dyDescent="0.25">
      <c r="A2465" s="10">
        <v>2998</v>
      </c>
      <c r="B2465" s="1" t="s">
        <v>3103</v>
      </c>
      <c r="C2465" s="2" t="s">
        <v>3074</v>
      </c>
      <c r="D2465" s="1">
        <v>129</v>
      </c>
      <c r="E2465" s="2">
        <v>865</v>
      </c>
      <c r="F2465">
        <f t="shared" si="59"/>
        <v>915</v>
      </c>
      <c r="G2465">
        <v>950</v>
      </c>
      <c r="H2465">
        <v>950</v>
      </c>
    </row>
    <row r="2466" spans="1:8" x14ac:dyDescent="0.25">
      <c r="A2466" s="10">
        <v>2999</v>
      </c>
      <c r="B2466" s="1" t="s">
        <v>3103</v>
      </c>
      <c r="C2466" s="2" t="s">
        <v>3075</v>
      </c>
      <c r="D2466" s="1">
        <v>129</v>
      </c>
      <c r="E2466" s="2">
        <v>865</v>
      </c>
      <c r="F2466">
        <f t="shared" si="59"/>
        <v>915</v>
      </c>
      <c r="G2466">
        <v>950</v>
      </c>
      <c r="H2466">
        <v>950</v>
      </c>
    </row>
    <row r="2467" spans="1:8" x14ac:dyDescent="0.25">
      <c r="A2467" s="10">
        <v>3000</v>
      </c>
      <c r="B2467" s="1" t="s">
        <v>3103</v>
      </c>
      <c r="C2467" s="2" t="s">
        <v>3076</v>
      </c>
      <c r="D2467" s="1">
        <v>129</v>
      </c>
      <c r="E2467" s="2">
        <v>865</v>
      </c>
      <c r="F2467">
        <f t="shared" si="59"/>
        <v>915</v>
      </c>
      <c r="G2467">
        <v>950</v>
      </c>
      <c r="H2467">
        <v>950</v>
      </c>
    </row>
    <row r="2468" spans="1:8" x14ac:dyDescent="0.25">
      <c r="A2468" s="10">
        <v>3001</v>
      </c>
      <c r="B2468" s="1" t="s">
        <v>3103</v>
      </c>
      <c r="C2468" s="2" t="s">
        <v>3077</v>
      </c>
      <c r="D2468" s="1">
        <v>129</v>
      </c>
      <c r="E2468" s="2">
        <v>1045</v>
      </c>
      <c r="F2468">
        <f t="shared" si="59"/>
        <v>1095</v>
      </c>
      <c r="G2468">
        <v>1150</v>
      </c>
      <c r="H2468">
        <v>1150</v>
      </c>
    </row>
    <row r="2469" spans="1:8" x14ac:dyDescent="0.25">
      <c r="A2469" s="10">
        <v>3002</v>
      </c>
      <c r="B2469" s="1" t="s">
        <v>3103</v>
      </c>
      <c r="C2469" s="2" t="s">
        <v>3078</v>
      </c>
      <c r="D2469" s="1">
        <v>129</v>
      </c>
      <c r="E2469" s="2">
        <v>840</v>
      </c>
      <c r="F2469">
        <f t="shared" si="59"/>
        <v>890</v>
      </c>
      <c r="G2469">
        <v>920</v>
      </c>
      <c r="H2469">
        <v>925</v>
      </c>
    </row>
    <row r="2470" spans="1:8" x14ac:dyDescent="0.25">
      <c r="A2470" s="10">
        <v>3003</v>
      </c>
      <c r="B2470" s="1" t="s">
        <v>3103</v>
      </c>
      <c r="C2470" s="2" t="s">
        <v>3079</v>
      </c>
      <c r="D2470" s="1">
        <v>129</v>
      </c>
      <c r="E2470" s="2">
        <v>865</v>
      </c>
      <c r="F2470">
        <f t="shared" si="59"/>
        <v>915</v>
      </c>
      <c r="G2470">
        <v>950</v>
      </c>
      <c r="H2470">
        <v>950</v>
      </c>
    </row>
    <row r="2471" spans="1:8" x14ac:dyDescent="0.25">
      <c r="A2471" s="10">
        <v>3004</v>
      </c>
      <c r="B2471" s="1" t="s">
        <v>3103</v>
      </c>
      <c r="C2471" s="2" t="s">
        <v>3080</v>
      </c>
      <c r="D2471" s="1">
        <v>129</v>
      </c>
      <c r="E2471" s="2">
        <v>805</v>
      </c>
      <c r="F2471">
        <f t="shared" si="59"/>
        <v>855</v>
      </c>
      <c r="G2471">
        <v>880</v>
      </c>
      <c r="H2471">
        <v>885</v>
      </c>
    </row>
    <row r="2472" spans="1:8" x14ac:dyDescent="0.25">
      <c r="A2472" s="10">
        <v>3005</v>
      </c>
      <c r="B2472" s="1" t="s">
        <v>3103</v>
      </c>
      <c r="C2472" s="2" t="s">
        <v>3081</v>
      </c>
      <c r="D2472" s="1">
        <v>129</v>
      </c>
      <c r="E2472" s="2">
        <v>855</v>
      </c>
      <c r="F2472">
        <f t="shared" si="59"/>
        <v>905</v>
      </c>
      <c r="G2472">
        <v>940</v>
      </c>
      <c r="H2472">
        <v>940</v>
      </c>
    </row>
    <row r="2473" spans="1:8" x14ac:dyDescent="0.25">
      <c r="A2473" s="10">
        <v>3006</v>
      </c>
      <c r="B2473" s="1" t="s">
        <v>3103</v>
      </c>
      <c r="C2473" s="2" t="s">
        <v>3082</v>
      </c>
      <c r="D2473" s="1">
        <v>129</v>
      </c>
      <c r="E2473" s="2">
        <v>840</v>
      </c>
      <c r="F2473">
        <f t="shared" si="59"/>
        <v>890</v>
      </c>
      <c r="G2473">
        <v>920</v>
      </c>
      <c r="H2473">
        <v>925</v>
      </c>
    </row>
    <row r="2474" spans="1:8" x14ac:dyDescent="0.25">
      <c r="A2474" s="10">
        <v>3007</v>
      </c>
      <c r="B2474" s="1" t="s">
        <v>3103</v>
      </c>
      <c r="C2474" s="2" t="s">
        <v>3083</v>
      </c>
      <c r="D2474" s="1">
        <v>129</v>
      </c>
      <c r="E2474" s="2">
        <v>840</v>
      </c>
      <c r="F2474">
        <f t="shared" si="59"/>
        <v>890</v>
      </c>
      <c r="G2474">
        <v>920</v>
      </c>
      <c r="H2474">
        <v>925</v>
      </c>
    </row>
    <row r="2475" spans="1:8" x14ac:dyDescent="0.25">
      <c r="A2475" s="10">
        <v>3008</v>
      </c>
      <c r="B2475" s="1" t="s">
        <v>3103</v>
      </c>
      <c r="C2475" s="2" t="s">
        <v>3084</v>
      </c>
      <c r="D2475" s="1">
        <v>129</v>
      </c>
      <c r="E2475" s="2">
        <v>820</v>
      </c>
      <c r="F2475">
        <f t="shared" si="59"/>
        <v>870</v>
      </c>
      <c r="G2475">
        <v>900</v>
      </c>
      <c r="H2475">
        <v>900</v>
      </c>
    </row>
    <row r="2476" spans="1:8" x14ac:dyDescent="0.25">
      <c r="A2476" s="10">
        <v>3009</v>
      </c>
      <c r="B2476" s="1" t="s">
        <v>3103</v>
      </c>
      <c r="C2476" s="2" t="s">
        <v>3085</v>
      </c>
      <c r="D2476" s="1">
        <v>129</v>
      </c>
      <c r="E2476" s="2">
        <v>805</v>
      </c>
      <c r="F2476">
        <f t="shared" si="59"/>
        <v>855</v>
      </c>
      <c r="G2476">
        <v>880</v>
      </c>
      <c r="H2476">
        <v>885</v>
      </c>
    </row>
    <row r="2477" spans="1:8" x14ac:dyDescent="0.25">
      <c r="A2477" s="10">
        <v>3010</v>
      </c>
      <c r="B2477" s="1" t="s">
        <v>3103</v>
      </c>
      <c r="C2477" s="2" t="s">
        <v>3086</v>
      </c>
      <c r="D2477" s="1">
        <v>129</v>
      </c>
      <c r="E2477" s="2">
        <v>715</v>
      </c>
      <c r="F2477">
        <f t="shared" si="59"/>
        <v>765</v>
      </c>
      <c r="G2477">
        <v>780</v>
      </c>
      <c r="H2477">
        <v>785</v>
      </c>
    </row>
    <row r="2478" spans="1:8" x14ac:dyDescent="0.25">
      <c r="A2478" s="10">
        <v>3011</v>
      </c>
      <c r="B2478" s="1" t="s">
        <v>3103</v>
      </c>
      <c r="C2478" s="2" t="s">
        <v>3087</v>
      </c>
      <c r="D2478" s="1">
        <v>129</v>
      </c>
      <c r="E2478" s="2">
        <v>570</v>
      </c>
      <c r="F2478">
        <f t="shared" si="59"/>
        <v>620</v>
      </c>
      <c r="G2478">
        <v>620</v>
      </c>
      <c r="H2478">
        <v>625</v>
      </c>
    </row>
    <row r="2479" spans="1:8" x14ac:dyDescent="0.25">
      <c r="A2479" s="10">
        <v>3012</v>
      </c>
      <c r="B2479" s="1" t="s">
        <v>3103</v>
      </c>
      <c r="C2479" s="2" t="s">
        <v>3088</v>
      </c>
      <c r="D2479" s="1">
        <v>129</v>
      </c>
      <c r="E2479" s="2">
        <v>475</v>
      </c>
      <c r="F2479">
        <f t="shared" si="59"/>
        <v>525</v>
      </c>
      <c r="G2479">
        <v>520</v>
      </c>
      <c r="H2479">
        <v>525</v>
      </c>
    </row>
    <row r="2480" spans="1:8" x14ac:dyDescent="0.25">
      <c r="A2480" s="10">
        <v>3013</v>
      </c>
      <c r="B2480" s="1" t="s">
        <v>3103</v>
      </c>
      <c r="C2480" s="2" t="s">
        <v>3089</v>
      </c>
      <c r="D2480" s="1">
        <v>129</v>
      </c>
      <c r="E2480" s="2">
        <v>1420</v>
      </c>
      <c r="F2480">
        <f t="shared" si="59"/>
        <v>1470</v>
      </c>
      <c r="G2480">
        <v>1560</v>
      </c>
      <c r="H2480">
        <v>1560</v>
      </c>
    </row>
    <row r="2481" spans="1:8" x14ac:dyDescent="0.25">
      <c r="A2481" s="10">
        <v>3014</v>
      </c>
      <c r="B2481" s="1" t="s">
        <v>3103</v>
      </c>
      <c r="C2481" s="2" t="s">
        <v>3090</v>
      </c>
      <c r="D2481" s="1">
        <v>129</v>
      </c>
      <c r="E2481" s="2">
        <v>1330</v>
      </c>
      <c r="F2481">
        <f t="shared" si="59"/>
        <v>1380</v>
      </c>
      <c r="G2481">
        <v>1450</v>
      </c>
      <c r="H2481">
        <v>1465</v>
      </c>
    </row>
    <row r="2482" spans="1:8" x14ac:dyDescent="0.25">
      <c r="A2482" s="10">
        <v>3015</v>
      </c>
      <c r="B2482" s="1" t="s">
        <v>3103</v>
      </c>
      <c r="C2482" s="2" t="s">
        <v>3091</v>
      </c>
      <c r="D2482" s="1">
        <v>129</v>
      </c>
      <c r="E2482" s="2">
        <v>1115</v>
      </c>
      <c r="F2482">
        <f t="shared" si="59"/>
        <v>1165</v>
      </c>
      <c r="G2482">
        <v>1220</v>
      </c>
      <c r="H2482">
        <v>1225</v>
      </c>
    </row>
    <row r="2483" spans="1:8" x14ac:dyDescent="0.25">
      <c r="A2483" s="10">
        <v>3016</v>
      </c>
      <c r="B2483" s="1" t="s">
        <v>3103</v>
      </c>
      <c r="C2483" s="2" t="s">
        <v>3092</v>
      </c>
      <c r="D2483" s="1">
        <v>129</v>
      </c>
      <c r="E2483" s="2">
        <v>1115</v>
      </c>
      <c r="F2483">
        <f t="shared" si="59"/>
        <v>1165</v>
      </c>
      <c r="G2483">
        <v>1220</v>
      </c>
      <c r="H2483">
        <v>1225</v>
      </c>
    </row>
    <row r="2484" spans="1:8" x14ac:dyDescent="0.25">
      <c r="A2484" s="10">
        <v>3017</v>
      </c>
      <c r="B2484" s="1" t="s">
        <v>3103</v>
      </c>
      <c r="C2484" s="2" t="s">
        <v>3093</v>
      </c>
      <c r="D2484" s="1">
        <v>129</v>
      </c>
      <c r="E2484" s="2">
        <v>1140</v>
      </c>
      <c r="F2484">
        <f t="shared" si="59"/>
        <v>1190</v>
      </c>
      <c r="G2484">
        <v>1250</v>
      </c>
      <c r="H2484">
        <v>1255</v>
      </c>
    </row>
    <row r="2485" spans="1:8" x14ac:dyDescent="0.25">
      <c r="A2485" s="10">
        <v>3018</v>
      </c>
      <c r="B2485" s="1" t="s">
        <v>3103</v>
      </c>
      <c r="C2485" s="2" t="s">
        <v>3094</v>
      </c>
      <c r="D2485" s="1">
        <v>129</v>
      </c>
      <c r="E2485" s="2">
        <v>1125</v>
      </c>
      <c r="F2485">
        <f t="shared" si="59"/>
        <v>1175</v>
      </c>
      <c r="G2485">
        <v>1240</v>
      </c>
      <c r="H2485">
        <v>1240</v>
      </c>
    </row>
    <row r="2486" spans="1:8" x14ac:dyDescent="0.25">
      <c r="A2486" s="10">
        <v>3019</v>
      </c>
      <c r="B2486" s="1" t="s">
        <v>3103</v>
      </c>
      <c r="C2486" s="2" t="s">
        <v>3095</v>
      </c>
      <c r="D2486" s="1">
        <v>129</v>
      </c>
      <c r="E2486" s="2">
        <v>1100</v>
      </c>
      <c r="F2486">
        <f t="shared" si="59"/>
        <v>1150</v>
      </c>
      <c r="G2486">
        <v>1200</v>
      </c>
      <c r="H2486">
        <v>1210</v>
      </c>
    </row>
    <row r="2487" spans="1:8" x14ac:dyDescent="0.25">
      <c r="A2487" s="10">
        <v>3020</v>
      </c>
      <c r="B2487" s="1" t="s">
        <v>3103</v>
      </c>
      <c r="C2487" s="2" t="s">
        <v>3096</v>
      </c>
      <c r="D2487" s="1">
        <v>129</v>
      </c>
      <c r="E2487" s="2">
        <v>1145</v>
      </c>
      <c r="F2487">
        <f t="shared" si="59"/>
        <v>1195</v>
      </c>
      <c r="G2487">
        <v>1260</v>
      </c>
      <c r="H2487">
        <v>1260</v>
      </c>
    </row>
    <row r="2488" spans="1:8" x14ac:dyDescent="0.25">
      <c r="A2488" s="10">
        <v>3021</v>
      </c>
      <c r="B2488" s="1" t="s">
        <v>3103</v>
      </c>
      <c r="C2488" s="2" t="s">
        <v>3097</v>
      </c>
      <c r="D2488" s="1">
        <v>129</v>
      </c>
      <c r="E2488" s="2">
        <v>865</v>
      </c>
      <c r="F2488">
        <f t="shared" si="59"/>
        <v>915</v>
      </c>
      <c r="G2488">
        <v>950</v>
      </c>
      <c r="H2488">
        <v>950</v>
      </c>
    </row>
    <row r="2489" spans="1:8" x14ac:dyDescent="0.25">
      <c r="A2489" s="10">
        <v>3022</v>
      </c>
      <c r="B2489" s="1" t="s">
        <v>3103</v>
      </c>
      <c r="C2489" s="2" t="s">
        <v>3098</v>
      </c>
      <c r="D2489" s="1">
        <v>129</v>
      </c>
      <c r="E2489" s="2">
        <v>865</v>
      </c>
      <c r="F2489">
        <f t="shared" si="59"/>
        <v>915</v>
      </c>
      <c r="G2489">
        <v>950</v>
      </c>
      <c r="H2489">
        <v>950</v>
      </c>
    </row>
    <row r="2490" spans="1:8" x14ac:dyDescent="0.25">
      <c r="A2490" s="10">
        <v>3023</v>
      </c>
      <c r="B2490" s="1" t="s">
        <v>3103</v>
      </c>
      <c r="C2490" s="2" t="s">
        <v>3099</v>
      </c>
      <c r="D2490" s="1">
        <v>129</v>
      </c>
      <c r="E2490" s="2">
        <v>840</v>
      </c>
      <c r="F2490">
        <f t="shared" si="59"/>
        <v>890</v>
      </c>
      <c r="G2490">
        <v>920</v>
      </c>
      <c r="H2490">
        <v>925</v>
      </c>
    </row>
    <row r="2491" spans="1:8" x14ac:dyDescent="0.25">
      <c r="A2491" s="10">
        <v>3024</v>
      </c>
      <c r="B2491" s="1" t="s">
        <v>3103</v>
      </c>
      <c r="C2491" s="2" t="s">
        <v>3100</v>
      </c>
      <c r="D2491" s="1">
        <v>129</v>
      </c>
      <c r="E2491" s="2">
        <v>865</v>
      </c>
      <c r="F2491">
        <f t="shared" si="59"/>
        <v>915</v>
      </c>
      <c r="G2491">
        <v>950</v>
      </c>
      <c r="H2491">
        <v>950</v>
      </c>
    </row>
    <row r="2492" spans="1:8" x14ac:dyDescent="0.25">
      <c r="A2492" s="10">
        <v>3025</v>
      </c>
      <c r="B2492" s="1" t="s">
        <v>3103</v>
      </c>
      <c r="C2492" s="2" t="s">
        <v>3101</v>
      </c>
      <c r="D2492" s="1">
        <v>129</v>
      </c>
      <c r="E2492" s="2">
        <v>865</v>
      </c>
      <c r="F2492">
        <f t="shared" si="59"/>
        <v>915</v>
      </c>
      <c r="G2492">
        <v>950</v>
      </c>
      <c r="H2492">
        <v>950</v>
      </c>
    </row>
    <row r="2493" spans="1:8" x14ac:dyDescent="0.25">
      <c r="A2493" s="10">
        <v>3026</v>
      </c>
      <c r="B2493" s="1" t="s">
        <v>3103</v>
      </c>
      <c r="C2493" s="2" t="s">
        <v>3102</v>
      </c>
      <c r="D2493" s="1">
        <v>129</v>
      </c>
      <c r="E2493" s="2">
        <v>1390</v>
      </c>
      <c r="F2493">
        <f t="shared" si="59"/>
        <v>1440</v>
      </c>
      <c r="G2493">
        <v>1530</v>
      </c>
      <c r="H2493">
        <v>1530</v>
      </c>
    </row>
    <row r="2495" spans="1:8" x14ac:dyDescent="0.25">
      <c r="A2495" s="10">
        <v>3027</v>
      </c>
      <c r="B2495" s="1" t="s">
        <v>3128</v>
      </c>
      <c r="C2495" s="2" t="s">
        <v>2524</v>
      </c>
      <c r="D2495" s="1" t="s">
        <v>3380</v>
      </c>
      <c r="E2495">
        <v>770</v>
      </c>
      <c r="F2495">
        <f>SUM(E2495+20)</f>
        <v>790</v>
      </c>
      <c r="G2495">
        <f>SUM(H2495-5)</f>
        <v>840</v>
      </c>
      <c r="H2495">
        <v>845</v>
      </c>
    </row>
    <row r="2496" spans="1:8" x14ac:dyDescent="0.25">
      <c r="A2496" s="10">
        <v>3028</v>
      </c>
      <c r="B2496" s="1" t="s">
        <v>3128</v>
      </c>
      <c r="C2496" s="2" t="s">
        <v>2525</v>
      </c>
      <c r="D2496" s="1">
        <v>130</v>
      </c>
      <c r="E2496">
        <v>1060</v>
      </c>
      <c r="F2496">
        <f t="shared" ref="F2496:F2515" si="60">SUM(E2496+20)</f>
        <v>1080</v>
      </c>
      <c r="G2496">
        <f t="shared" ref="G2496:G2514" si="61">SUM(H2496-5)</f>
        <v>1160</v>
      </c>
      <c r="H2496">
        <v>1165</v>
      </c>
    </row>
    <row r="2497" spans="1:8" x14ac:dyDescent="0.25">
      <c r="A2497" s="10">
        <v>3029</v>
      </c>
      <c r="B2497" s="1" t="s">
        <v>3128</v>
      </c>
      <c r="C2497" s="2" t="s">
        <v>2526</v>
      </c>
      <c r="D2497" s="1">
        <v>130</v>
      </c>
      <c r="E2497">
        <v>770</v>
      </c>
      <c r="F2497">
        <f t="shared" si="60"/>
        <v>790</v>
      </c>
      <c r="G2497">
        <f t="shared" si="61"/>
        <v>840</v>
      </c>
      <c r="H2497">
        <v>845</v>
      </c>
    </row>
    <row r="2498" spans="1:8" x14ac:dyDescent="0.25">
      <c r="A2498" s="10">
        <v>3030</v>
      </c>
      <c r="B2498" s="1" t="s">
        <v>3128</v>
      </c>
      <c r="C2498" s="2" t="s">
        <v>2527</v>
      </c>
      <c r="D2498" s="1">
        <v>130</v>
      </c>
      <c r="E2498">
        <v>770</v>
      </c>
      <c r="F2498">
        <f t="shared" si="60"/>
        <v>790</v>
      </c>
      <c r="G2498">
        <f t="shared" si="61"/>
        <v>840</v>
      </c>
      <c r="H2498">
        <v>845</v>
      </c>
    </row>
    <row r="2499" spans="1:8" x14ac:dyDescent="0.25">
      <c r="A2499" s="10">
        <v>3031</v>
      </c>
      <c r="B2499" s="1" t="s">
        <v>3128</v>
      </c>
      <c r="C2499" s="2" t="s">
        <v>2528</v>
      </c>
      <c r="D2499" s="1">
        <v>130</v>
      </c>
      <c r="E2499">
        <v>770</v>
      </c>
      <c r="F2499">
        <f t="shared" si="60"/>
        <v>790</v>
      </c>
      <c r="G2499">
        <f t="shared" si="61"/>
        <v>840</v>
      </c>
      <c r="H2499">
        <v>845</v>
      </c>
    </row>
    <row r="2500" spans="1:8" x14ac:dyDescent="0.25">
      <c r="A2500" s="10">
        <v>3032</v>
      </c>
      <c r="B2500" s="1" t="s">
        <v>3128</v>
      </c>
      <c r="C2500" s="2" t="s">
        <v>2529</v>
      </c>
      <c r="D2500" s="1">
        <v>130</v>
      </c>
      <c r="E2500">
        <v>1060</v>
      </c>
      <c r="F2500">
        <f t="shared" si="60"/>
        <v>1080</v>
      </c>
      <c r="G2500">
        <f t="shared" si="61"/>
        <v>1160</v>
      </c>
      <c r="H2500">
        <v>1165</v>
      </c>
    </row>
    <row r="2501" spans="1:8" x14ac:dyDescent="0.25">
      <c r="A2501" s="10">
        <v>3033</v>
      </c>
      <c r="B2501" s="1" t="s">
        <v>3128</v>
      </c>
      <c r="C2501" s="2" t="s">
        <v>2530</v>
      </c>
      <c r="D2501" s="1">
        <v>130</v>
      </c>
      <c r="E2501">
        <v>770</v>
      </c>
      <c r="F2501">
        <f t="shared" si="60"/>
        <v>790</v>
      </c>
      <c r="G2501">
        <f t="shared" si="61"/>
        <v>840</v>
      </c>
      <c r="H2501">
        <v>845</v>
      </c>
    </row>
    <row r="2502" spans="1:8" x14ac:dyDescent="0.25">
      <c r="A2502" s="10">
        <v>3034</v>
      </c>
      <c r="B2502" s="1" t="s">
        <v>3128</v>
      </c>
      <c r="C2502" s="2" t="s">
        <v>2531</v>
      </c>
      <c r="D2502" s="1">
        <v>130</v>
      </c>
      <c r="E2502">
        <v>1060</v>
      </c>
      <c r="F2502">
        <f t="shared" si="60"/>
        <v>1080</v>
      </c>
      <c r="G2502">
        <f t="shared" si="61"/>
        <v>1160</v>
      </c>
      <c r="H2502">
        <v>1165</v>
      </c>
    </row>
    <row r="2503" spans="1:8" x14ac:dyDescent="0.25">
      <c r="A2503" s="10">
        <v>3035</v>
      </c>
      <c r="B2503" s="1" t="s">
        <v>3128</v>
      </c>
      <c r="C2503" s="2" t="s">
        <v>2532</v>
      </c>
      <c r="D2503" s="1">
        <v>130</v>
      </c>
      <c r="E2503">
        <v>770</v>
      </c>
      <c r="F2503">
        <f t="shared" si="60"/>
        <v>790</v>
      </c>
      <c r="G2503">
        <f t="shared" si="61"/>
        <v>840</v>
      </c>
      <c r="H2503">
        <v>845</v>
      </c>
    </row>
    <row r="2504" spans="1:8" x14ac:dyDescent="0.25">
      <c r="A2504" s="10">
        <v>3036</v>
      </c>
      <c r="B2504" s="1" t="s">
        <v>3128</v>
      </c>
      <c r="C2504" s="2" t="s">
        <v>2533</v>
      </c>
      <c r="D2504" s="1">
        <v>130</v>
      </c>
      <c r="E2504">
        <v>770</v>
      </c>
      <c r="F2504">
        <f t="shared" si="60"/>
        <v>790</v>
      </c>
      <c r="G2504">
        <f t="shared" si="61"/>
        <v>840</v>
      </c>
      <c r="H2504">
        <v>845</v>
      </c>
    </row>
    <row r="2505" spans="1:8" x14ac:dyDescent="0.25">
      <c r="A2505" s="10">
        <v>3037</v>
      </c>
      <c r="B2505" s="1" t="s">
        <v>3128</v>
      </c>
      <c r="C2505" s="2" t="s">
        <v>2534</v>
      </c>
      <c r="D2505" s="1">
        <v>130</v>
      </c>
      <c r="E2505">
        <v>1060</v>
      </c>
      <c r="F2505">
        <f t="shared" si="60"/>
        <v>1080</v>
      </c>
      <c r="G2505">
        <f t="shared" si="61"/>
        <v>1160</v>
      </c>
      <c r="H2505">
        <v>1165</v>
      </c>
    </row>
    <row r="2506" spans="1:8" x14ac:dyDescent="0.25">
      <c r="A2506" s="10">
        <v>3038</v>
      </c>
      <c r="B2506" s="1" t="s">
        <v>3128</v>
      </c>
      <c r="C2506" s="2" t="s">
        <v>2535</v>
      </c>
      <c r="D2506" s="1">
        <v>130</v>
      </c>
      <c r="E2506">
        <v>770</v>
      </c>
      <c r="F2506">
        <f t="shared" si="60"/>
        <v>790</v>
      </c>
      <c r="G2506">
        <f t="shared" si="61"/>
        <v>840</v>
      </c>
      <c r="H2506">
        <v>845</v>
      </c>
    </row>
    <row r="2507" spans="1:8" x14ac:dyDescent="0.25">
      <c r="A2507" s="10">
        <v>3039</v>
      </c>
      <c r="B2507" s="1" t="s">
        <v>3128</v>
      </c>
      <c r="C2507" s="2" t="s">
        <v>2536</v>
      </c>
      <c r="D2507" s="1">
        <v>130</v>
      </c>
      <c r="E2507">
        <v>785</v>
      </c>
      <c r="F2507">
        <f t="shared" si="60"/>
        <v>805</v>
      </c>
      <c r="G2507">
        <f t="shared" si="61"/>
        <v>860</v>
      </c>
      <c r="H2507">
        <v>865</v>
      </c>
    </row>
    <row r="2508" spans="1:8" x14ac:dyDescent="0.25">
      <c r="A2508" s="10">
        <v>3040</v>
      </c>
      <c r="B2508" s="1" t="s">
        <v>3128</v>
      </c>
      <c r="C2508" s="2" t="s">
        <v>2537</v>
      </c>
      <c r="D2508" s="1">
        <v>130</v>
      </c>
      <c r="E2508">
        <v>750</v>
      </c>
      <c r="F2508">
        <f t="shared" si="60"/>
        <v>770</v>
      </c>
      <c r="G2508">
        <f t="shared" si="61"/>
        <v>820</v>
      </c>
      <c r="H2508">
        <v>825</v>
      </c>
    </row>
    <row r="2509" spans="1:8" x14ac:dyDescent="0.25">
      <c r="A2509" s="10">
        <v>3041</v>
      </c>
      <c r="B2509" s="1" t="s">
        <v>3128</v>
      </c>
      <c r="C2509" s="2" t="s">
        <v>2538</v>
      </c>
      <c r="D2509" s="1">
        <v>130</v>
      </c>
      <c r="E2509">
        <v>750</v>
      </c>
      <c r="F2509">
        <f t="shared" si="60"/>
        <v>770</v>
      </c>
      <c r="G2509">
        <f t="shared" si="61"/>
        <v>820</v>
      </c>
      <c r="H2509">
        <v>825</v>
      </c>
    </row>
    <row r="2510" spans="1:8" x14ac:dyDescent="0.25">
      <c r="A2510" s="10">
        <v>3042</v>
      </c>
      <c r="B2510" s="1" t="s">
        <v>3128</v>
      </c>
      <c r="C2510" s="2" t="s">
        <v>2539</v>
      </c>
      <c r="D2510" s="1">
        <v>130</v>
      </c>
      <c r="E2510">
        <v>1030</v>
      </c>
      <c r="F2510">
        <f t="shared" si="60"/>
        <v>1050</v>
      </c>
      <c r="G2510">
        <f t="shared" si="61"/>
        <v>1130</v>
      </c>
      <c r="H2510">
        <v>1135</v>
      </c>
    </row>
    <row r="2511" spans="1:8" x14ac:dyDescent="0.25">
      <c r="A2511" s="10">
        <v>3043</v>
      </c>
      <c r="B2511" s="1" t="s">
        <v>3128</v>
      </c>
      <c r="C2511" s="2" t="s">
        <v>2540</v>
      </c>
      <c r="D2511" s="1">
        <v>130</v>
      </c>
      <c r="E2511">
        <v>720</v>
      </c>
      <c r="F2511">
        <f t="shared" si="60"/>
        <v>740</v>
      </c>
      <c r="G2511">
        <f t="shared" si="61"/>
        <v>785</v>
      </c>
      <c r="H2511">
        <v>790</v>
      </c>
    </row>
    <row r="2512" spans="1:8" x14ac:dyDescent="0.25">
      <c r="A2512" s="10">
        <v>3044</v>
      </c>
      <c r="B2512" s="1" t="s">
        <v>3128</v>
      </c>
      <c r="C2512" s="2" t="s">
        <v>2541</v>
      </c>
      <c r="D2512" s="1">
        <v>130</v>
      </c>
      <c r="E2512">
        <v>720</v>
      </c>
      <c r="F2512">
        <f t="shared" si="60"/>
        <v>740</v>
      </c>
      <c r="G2512">
        <f t="shared" si="61"/>
        <v>785</v>
      </c>
      <c r="H2512">
        <v>790</v>
      </c>
    </row>
    <row r="2513" spans="1:8" x14ac:dyDescent="0.25">
      <c r="A2513" s="10">
        <v>3045</v>
      </c>
      <c r="B2513" s="1" t="s">
        <v>3128</v>
      </c>
      <c r="C2513" s="2" t="s">
        <v>2542</v>
      </c>
      <c r="D2513" s="1">
        <v>130</v>
      </c>
      <c r="E2513">
        <v>515</v>
      </c>
      <c r="F2513">
        <f t="shared" si="60"/>
        <v>535</v>
      </c>
      <c r="G2513">
        <f t="shared" si="61"/>
        <v>560</v>
      </c>
      <c r="H2513">
        <v>565</v>
      </c>
    </row>
    <row r="2514" spans="1:8" x14ac:dyDescent="0.25">
      <c r="A2514" s="10">
        <v>3046</v>
      </c>
      <c r="B2514" s="1" t="s">
        <v>3128</v>
      </c>
      <c r="C2514" s="2" t="s">
        <v>2543</v>
      </c>
      <c r="D2514" s="1">
        <v>130</v>
      </c>
      <c r="E2514">
        <v>515</v>
      </c>
      <c r="F2514">
        <f t="shared" si="60"/>
        <v>535</v>
      </c>
      <c r="G2514">
        <f t="shared" si="61"/>
        <v>560</v>
      </c>
      <c r="H2514">
        <v>565</v>
      </c>
    </row>
    <row r="2515" spans="1:8" x14ac:dyDescent="0.25">
      <c r="A2515" s="10">
        <v>3047</v>
      </c>
      <c r="B2515" s="1" t="s">
        <v>3128</v>
      </c>
      <c r="C2515" s="2" t="s">
        <v>2544</v>
      </c>
      <c r="D2515" s="1">
        <v>130</v>
      </c>
      <c r="E2515">
        <v>420</v>
      </c>
      <c r="F2515">
        <f t="shared" si="60"/>
        <v>440</v>
      </c>
      <c r="G2515">
        <v>450</v>
      </c>
      <c r="H2515">
        <v>460</v>
      </c>
    </row>
    <row r="2516" spans="1:8" x14ac:dyDescent="0.25">
      <c r="A2516"/>
      <c r="B2516" s="1"/>
      <c r="C2516" s="2"/>
    </row>
    <row r="2517" spans="1:8" x14ac:dyDescent="0.25">
      <c r="A2517" s="10">
        <v>3048</v>
      </c>
      <c r="B2517" s="1" t="s">
        <v>3129</v>
      </c>
      <c r="C2517" s="3" t="s">
        <v>2545</v>
      </c>
      <c r="D2517" s="1" t="s">
        <v>3381</v>
      </c>
      <c r="E2517">
        <v>1760</v>
      </c>
      <c r="F2517">
        <f>SUM(E2517+20)</f>
        <v>1780</v>
      </c>
      <c r="G2517">
        <v>1920</v>
      </c>
      <c r="H2517">
        <v>1935</v>
      </c>
    </row>
    <row r="2518" spans="1:8" x14ac:dyDescent="0.25">
      <c r="A2518" s="10">
        <v>3049</v>
      </c>
      <c r="B2518" s="1" t="s">
        <v>3129</v>
      </c>
      <c r="C2518" s="3" t="s">
        <v>2546</v>
      </c>
      <c r="D2518" s="1">
        <v>131</v>
      </c>
      <c r="E2518">
        <v>2220</v>
      </c>
      <c r="F2518">
        <f t="shared" ref="F2518:F2540" si="62">SUM(E2518+20)</f>
        <v>2240</v>
      </c>
      <c r="G2518">
        <v>2440</v>
      </c>
      <c r="H2518">
        <v>2440</v>
      </c>
    </row>
    <row r="2519" spans="1:8" x14ac:dyDescent="0.25">
      <c r="A2519" s="10">
        <v>3050</v>
      </c>
      <c r="B2519" s="1" t="s">
        <v>3129</v>
      </c>
      <c r="C2519" s="3" t="s">
        <v>2547</v>
      </c>
      <c r="D2519" s="1">
        <v>131</v>
      </c>
      <c r="E2519">
        <v>3300</v>
      </c>
      <c r="F2519">
        <f t="shared" si="62"/>
        <v>3320</v>
      </c>
      <c r="G2519">
        <v>3630</v>
      </c>
      <c r="H2519">
        <v>3630</v>
      </c>
    </row>
    <row r="2520" spans="1:8" x14ac:dyDescent="0.25">
      <c r="A2520" s="10">
        <v>3051</v>
      </c>
      <c r="B2520" s="1" t="s">
        <v>3129</v>
      </c>
      <c r="C2520" s="3" t="s">
        <v>2548</v>
      </c>
      <c r="D2520" s="1">
        <v>131</v>
      </c>
      <c r="E2520">
        <v>3100</v>
      </c>
      <c r="F2520">
        <f t="shared" si="62"/>
        <v>3120</v>
      </c>
      <c r="G2520">
        <v>3400</v>
      </c>
      <c r="H2520">
        <v>3410</v>
      </c>
    </row>
    <row r="2521" spans="1:8" x14ac:dyDescent="0.25">
      <c r="A2521" s="10">
        <v>3052</v>
      </c>
      <c r="B2521" s="1" t="s">
        <v>3129</v>
      </c>
      <c r="C2521" s="3" t="s">
        <v>2549</v>
      </c>
      <c r="D2521" s="1">
        <v>131</v>
      </c>
      <c r="E2521">
        <v>2045</v>
      </c>
      <c r="F2521">
        <f t="shared" si="62"/>
        <v>2065</v>
      </c>
      <c r="G2521">
        <v>2250</v>
      </c>
      <c r="H2521">
        <v>2250</v>
      </c>
    </row>
    <row r="2522" spans="1:8" x14ac:dyDescent="0.25">
      <c r="A2522" s="10">
        <v>3053</v>
      </c>
      <c r="B2522" s="1" t="s">
        <v>3129</v>
      </c>
      <c r="C2522" s="3" t="s">
        <v>2550</v>
      </c>
      <c r="D2522" s="1">
        <v>131</v>
      </c>
      <c r="E2522">
        <v>2070</v>
      </c>
      <c r="F2522">
        <f t="shared" si="62"/>
        <v>2090</v>
      </c>
      <c r="G2522">
        <v>2260</v>
      </c>
      <c r="H2522">
        <v>2275</v>
      </c>
    </row>
    <row r="2523" spans="1:8" x14ac:dyDescent="0.25">
      <c r="A2523" s="10">
        <v>3054</v>
      </c>
      <c r="B2523" s="1" t="s">
        <v>3129</v>
      </c>
      <c r="C2523" s="3" t="s">
        <v>2551</v>
      </c>
      <c r="D2523" s="1">
        <v>131</v>
      </c>
      <c r="E2523">
        <v>2120</v>
      </c>
      <c r="F2523">
        <f t="shared" si="62"/>
        <v>2140</v>
      </c>
      <c r="G2523">
        <v>2330</v>
      </c>
      <c r="H2523">
        <v>2330</v>
      </c>
    </row>
    <row r="2524" spans="1:8" x14ac:dyDescent="0.25">
      <c r="A2524" s="10">
        <v>3055</v>
      </c>
      <c r="B2524" s="1" t="s">
        <v>3129</v>
      </c>
      <c r="C2524" s="3" t="s">
        <v>2552</v>
      </c>
      <c r="D2524" s="1">
        <v>131</v>
      </c>
      <c r="E2524">
        <v>2100</v>
      </c>
      <c r="F2524">
        <f t="shared" si="62"/>
        <v>2120</v>
      </c>
      <c r="G2524">
        <v>2300</v>
      </c>
      <c r="H2524">
        <v>2310</v>
      </c>
    </row>
    <row r="2525" spans="1:8" x14ac:dyDescent="0.25">
      <c r="A2525" s="10">
        <v>3056</v>
      </c>
      <c r="B2525" s="1" t="s">
        <v>3129</v>
      </c>
      <c r="C2525" s="3" t="s">
        <v>2553</v>
      </c>
      <c r="D2525" s="1">
        <v>131</v>
      </c>
      <c r="E2525">
        <v>1880</v>
      </c>
      <c r="F2525">
        <f t="shared" si="62"/>
        <v>1900</v>
      </c>
      <c r="G2525">
        <v>2070</v>
      </c>
      <c r="H2525">
        <v>2070</v>
      </c>
    </row>
    <row r="2526" spans="1:8" x14ac:dyDescent="0.25">
      <c r="A2526" s="10">
        <v>3057</v>
      </c>
      <c r="B2526" s="1" t="s">
        <v>3129</v>
      </c>
      <c r="C2526" s="3" t="s">
        <v>2554</v>
      </c>
      <c r="D2526" s="1">
        <v>131</v>
      </c>
      <c r="E2526">
        <v>1760</v>
      </c>
      <c r="F2526">
        <f t="shared" si="62"/>
        <v>1780</v>
      </c>
      <c r="G2526">
        <v>1920</v>
      </c>
      <c r="H2526">
        <v>1935</v>
      </c>
    </row>
    <row r="2527" spans="1:8" x14ac:dyDescent="0.25">
      <c r="A2527" s="10">
        <v>3058</v>
      </c>
      <c r="B2527" s="1" t="s">
        <v>3129</v>
      </c>
      <c r="C2527" s="3" t="s">
        <v>2555</v>
      </c>
      <c r="D2527" s="1">
        <v>131</v>
      </c>
      <c r="E2527">
        <v>2050</v>
      </c>
      <c r="F2527">
        <f t="shared" si="62"/>
        <v>2070</v>
      </c>
      <c r="G2527">
        <v>2250</v>
      </c>
      <c r="H2527">
        <v>2255</v>
      </c>
    </row>
    <row r="2528" spans="1:8" x14ac:dyDescent="0.25">
      <c r="A2528" s="10">
        <v>3059</v>
      </c>
      <c r="B2528" s="1" t="s">
        <v>3129</v>
      </c>
      <c r="C2528" s="3" t="s">
        <v>2556</v>
      </c>
      <c r="D2528" s="1">
        <v>131</v>
      </c>
      <c r="E2528">
        <v>1760</v>
      </c>
      <c r="F2528">
        <f t="shared" si="62"/>
        <v>1780</v>
      </c>
      <c r="G2528">
        <v>1920</v>
      </c>
      <c r="H2528">
        <v>1935</v>
      </c>
    </row>
    <row r="2529" spans="1:8" x14ac:dyDescent="0.25">
      <c r="A2529" s="10">
        <v>3060</v>
      </c>
      <c r="B2529" s="1" t="s">
        <v>3129</v>
      </c>
      <c r="C2529" s="3" t="s">
        <v>2557</v>
      </c>
      <c r="D2529" s="1">
        <v>131</v>
      </c>
      <c r="E2529">
        <v>2070</v>
      </c>
      <c r="F2529">
        <f t="shared" si="62"/>
        <v>2090</v>
      </c>
      <c r="G2529">
        <v>2260</v>
      </c>
      <c r="H2529">
        <v>2275</v>
      </c>
    </row>
    <row r="2530" spans="1:8" x14ac:dyDescent="0.25">
      <c r="A2530" s="10">
        <v>3061</v>
      </c>
      <c r="B2530" s="1" t="s">
        <v>3129</v>
      </c>
      <c r="C2530" s="3" t="s">
        <v>2558</v>
      </c>
      <c r="D2530" s="1">
        <v>131</v>
      </c>
      <c r="E2530">
        <v>1855</v>
      </c>
      <c r="F2530">
        <f t="shared" si="62"/>
        <v>1875</v>
      </c>
      <c r="G2530">
        <v>2040</v>
      </c>
      <c r="H2530">
        <v>2040</v>
      </c>
    </row>
    <row r="2531" spans="1:8" x14ac:dyDescent="0.25">
      <c r="A2531" s="10">
        <v>3062</v>
      </c>
      <c r="B2531" s="1" t="s">
        <v>3129</v>
      </c>
      <c r="C2531" s="3" t="s">
        <v>2559</v>
      </c>
      <c r="D2531" s="1">
        <v>131</v>
      </c>
      <c r="E2531">
        <v>1880</v>
      </c>
      <c r="F2531">
        <f t="shared" si="62"/>
        <v>1900</v>
      </c>
      <c r="G2531">
        <v>2070</v>
      </c>
      <c r="H2531">
        <v>2070</v>
      </c>
    </row>
    <row r="2532" spans="1:8" x14ac:dyDescent="0.25">
      <c r="A2532" s="10">
        <v>3063</v>
      </c>
      <c r="B2532" s="1" t="s">
        <v>3129</v>
      </c>
      <c r="C2532" s="3" t="s">
        <v>2560</v>
      </c>
      <c r="D2532" s="1">
        <v>131</v>
      </c>
      <c r="E2532">
        <v>1910</v>
      </c>
      <c r="F2532">
        <f t="shared" si="62"/>
        <v>1930</v>
      </c>
      <c r="G2532">
        <v>2100</v>
      </c>
      <c r="H2532">
        <v>2100</v>
      </c>
    </row>
    <row r="2533" spans="1:8" x14ac:dyDescent="0.25">
      <c r="A2533" s="10">
        <v>3064</v>
      </c>
      <c r="B2533" s="1" t="s">
        <v>3129</v>
      </c>
      <c r="C2533" s="3" t="s">
        <v>2561</v>
      </c>
      <c r="D2533" s="1">
        <v>131</v>
      </c>
      <c r="E2533">
        <v>1825</v>
      </c>
      <c r="F2533">
        <f t="shared" si="62"/>
        <v>1845</v>
      </c>
      <c r="G2533">
        <v>2000</v>
      </c>
      <c r="H2533">
        <v>2010</v>
      </c>
    </row>
    <row r="2534" spans="1:8" x14ac:dyDescent="0.25">
      <c r="A2534" s="10">
        <v>3065</v>
      </c>
      <c r="B2534" s="1" t="s">
        <v>3129</v>
      </c>
      <c r="C2534" s="3" t="s">
        <v>2562</v>
      </c>
      <c r="D2534" s="1">
        <v>131</v>
      </c>
      <c r="E2534">
        <v>1760</v>
      </c>
      <c r="F2534">
        <f t="shared" si="62"/>
        <v>1780</v>
      </c>
      <c r="G2534">
        <v>1920</v>
      </c>
      <c r="H2534">
        <v>1935</v>
      </c>
    </row>
    <row r="2535" spans="1:8" x14ac:dyDescent="0.25">
      <c r="A2535" s="10">
        <v>3066</v>
      </c>
      <c r="B2535" s="1" t="s">
        <v>3129</v>
      </c>
      <c r="C2535" s="3" t="s">
        <v>2563</v>
      </c>
      <c r="D2535" s="1">
        <v>131</v>
      </c>
      <c r="E2535">
        <v>1680</v>
      </c>
      <c r="F2535">
        <f t="shared" si="62"/>
        <v>1700</v>
      </c>
      <c r="G2535">
        <v>1850</v>
      </c>
      <c r="H2535">
        <v>1850</v>
      </c>
    </row>
    <row r="2536" spans="1:8" x14ac:dyDescent="0.25">
      <c r="A2536" s="10">
        <v>3067</v>
      </c>
      <c r="B2536" s="1" t="s">
        <v>3129</v>
      </c>
      <c r="C2536" s="3" t="s">
        <v>2564</v>
      </c>
      <c r="D2536" s="1">
        <v>131</v>
      </c>
      <c r="E2536">
        <v>1530</v>
      </c>
      <c r="F2536">
        <f t="shared" si="62"/>
        <v>1550</v>
      </c>
      <c r="G2536">
        <v>1680</v>
      </c>
      <c r="H2536">
        <v>1685</v>
      </c>
    </row>
    <row r="2537" spans="1:8" x14ac:dyDescent="0.25">
      <c r="A2537" s="10">
        <v>3068</v>
      </c>
      <c r="B2537" s="1" t="s">
        <v>3129</v>
      </c>
      <c r="C2537" s="3" t="s">
        <v>2565</v>
      </c>
      <c r="D2537" s="1">
        <v>131</v>
      </c>
      <c r="E2537">
        <v>1445</v>
      </c>
      <c r="F2537">
        <f t="shared" si="62"/>
        <v>1465</v>
      </c>
      <c r="G2537">
        <v>1580</v>
      </c>
      <c r="H2537">
        <v>1590</v>
      </c>
    </row>
    <row r="2538" spans="1:8" x14ac:dyDescent="0.25">
      <c r="A2538" s="10">
        <v>3069</v>
      </c>
      <c r="B2538" s="1" t="s">
        <v>3129</v>
      </c>
      <c r="C2538" s="3" t="s">
        <v>2566</v>
      </c>
      <c r="D2538" s="1">
        <v>131</v>
      </c>
      <c r="E2538">
        <v>1500</v>
      </c>
      <c r="F2538">
        <f t="shared" si="62"/>
        <v>1520</v>
      </c>
      <c r="G2538">
        <v>1650</v>
      </c>
      <c r="H2538">
        <v>1650</v>
      </c>
    </row>
    <row r="2539" spans="1:8" x14ac:dyDescent="0.25">
      <c r="A2539" s="10">
        <v>3070</v>
      </c>
      <c r="B2539" s="1" t="s">
        <v>3129</v>
      </c>
      <c r="C2539" s="3" t="s">
        <v>2567</v>
      </c>
      <c r="D2539" s="1">
        <v>131</v>
      </c>
      <c r="E2539">
        <v>1215</v>
      </c>
      <c r="F2539">
        <f t="shared" si="62"/>
        <v>1235</v>
      </c>
      <c r="G2539">
        <v>1320</v>
      </c>
      <c r="H2539">
        <v>1335</v>
      </c>
    </row>
    <row r="2540" spans="1:8" x14ac:dyDescent="0.25">
      <c r="A2540" s="10">
        <v>3071</v>
      </c>
      <c r="B2540" s="1" t="s">
        <v>3129</v>
      </c>
      <c r="C2540" s="3" t="s">
        <v>2568</v>
      </c>
      <c r="D2540" s="1">
        <v>131</v>
      </c>
      <c r="E2540">
        <v>1100</v>
      </c>
      <c r="F2540">
        <f t="shared" si="62"/>
        <v>1120</v>
      </c>
      <c r="G2540">
        <v>1200</v>
      </c>
      <c r="H2540">
        <v>1210</v>
      </c>
    </row>
    <row r="2542" spans="1:8" x14ac:dyDescent="0.25">
      <c r="A2542" s="10">
        <v>3072</v>
      </c>
      <c r="B2542" s="1" t="s">
        <v>3124</v>
      </c>
      <c r="C2542" s="8" t="s">
        <v>3104</v>
      </c>
      <c r="D2542" s="1" t="s">
        <v>3382</v>
      </c>
      <c r="E2542">
        <v>3537</v>
      </c>
      <c r="F2542">
        <f>SUM(E2542+20)</f>
        <v>3557</v>
      </c>
      <c r="G2542">
        <v>3800</v>
      </c>
      <c r="H2542">
        <v>5895</v>
      </c>
    </row>
    <row r="2543" spans="1:8" x14ac:dyDescent="0.25">
      <c r="A2543" s="10">
        <v>3073</v>
      </c>
      <c r="B2543" s="1" t="s">
        <v>3124</v>
      </c>
      <c r="C2543" s="8" t="s">
        <v>3106</v>
      </c>
      <c r="D2543" s="1">
        <v>132</v>
      </c>
      <c r="E2543">
        <v>3182</v>
      </c>
      <c r="F2543">
        <f t="shared" ref="F2543:F2561" si="63">SUM(E2543+20)</f>
        <v>3202</v>
      </c>
      <c r="G2543">
        <v>4080</v>
      </c>
      <c r="H2543">
        <v>4545</v>
      </c>
    </row>
    <row r="2544" spans="1:8" x14ac:dyDescent="0.25">
      <c r="A2544" s="10">
        <v>3074</v>
      </c>
      <c r="B2544" s="1" t="s">
        <v>3124</v>
      </c>
      <c r="C2544" s="8" t="s">
        <v>3107</v>
      </c>
      <c r="D2544" s="1">
        <v>132</v>
      </c>
      <c r="E2544">
        <v>2583</v>
      </c>
      <c r="F2544">
        <f t="shared" si="63"/>
        <v>2603</v>
      </c>
      <c r="G2544">
        <v>3320</v>
      </c>
      <c r="H2544">
        <v>3690</v>
      </c>
    </row>
    <row r="2545" spans="1:8" x14ac:dyDescent="0.25">
      <c r="A2545" s="10">
        <v>3075</v>
      </c>
      <c r="B2545" s="1" t="s">
        <v>3124</v>
      </c>
      <c r="C2545" s="8" t="s">
        <v>3108</v>
      </c>
      <c r="D2545" s="1">
        <v>132</v>
      </c>
      <c r="E2545">
        <v>5225</v>
      </c>
      <c r="F2545">
        <f t="shared" si="63"/>
        <v>5245</v>
      </c>
      <c r="G2545">
        <v>6720</v>
      </c>
      <c r="H2545">
        <v>7465</v>
      </c>
    </row>
    <row r="2546" spans="1:8" x14ac:dyDescent="0.25">
      <c r="A2546" s="10">
        <v>3076</v>
      </c>
      <c r="B2546" s="1" t="s">
        <v>3124</v>
      </c>
      <c r="C2546" s="8" t="s">
        <v>3109</v>
      </c>
      <c r="D2546" s="1">
        <v>132</v>
      </c>
      <c r="E2546">
        <v>2124</v>
      </c>
      <c r="F2546">
        <f t="shared" si="63"/>
        <v>2144</v>
      </c>
      <c r="G2546">
        <v>2720</v>
      </c>
      <c r="H2546">
        <v>3035</v>
      </c>
    </row>
    <row r="2547" spans="1:8" x14ac:dyDescent="0.25">
      <c r="A2547" s="10">
        <v>3077</v>
      </c>
      <c r="B2547" s="1" t="s">
        <v>3124</v>
      </c>
      <c r="C2547" s="8" t="s">
        <v>3110</v>
      </c>
      <c r="D2547" s="1">
        <v>132</v>
      </c>
      <c r="E2547">
        <v>160</v>
      </c>
      <c r="F2547">
        <f t="shared" si="63"/>
        <v>180</v>
      </c>
      <c r="G2547">
        <v>200</v>
      </c>
      <c r="H2547">
        <v>230</v>
      </c>
    </row>
    <row r="2548" spans="1:8" x14ac:dyDescent="0.25">
      <c r="A2548" s="10">
        <v>3078</v>
      </c>
      <c r="B2548" s="1" t="s">
        <v>3124</v>
      </c>
      <c r="C2548" s="8" t="s">
        <v>3111</v>
      </c>
      <c r="D2548" s="1">
        <v>132</v>
      </c>
      <c r="E2548">
        <v>140</v>
      </c>
      <c r="F2548">
        <f t="shared" si="63"/>
        <v>160</v>
      </c>
      <c r="G2548">
        <v>180</v>
      </c>
      <c r="H2548">
        <v>200</v>
      </c>
    </row>
    <row r="2549" spans="1:8" x14ac:dyDescent="0.25">
      <c r="A2549" s="10">
        <v>3079</v>
      </c>
      <c r="B2549" s="1" t="s">
        <v>3124</v>
      </c>
      <c r="C2549" s="8" t="s">
        <v>3112</v>
      </c>
      <c r="D2549" s="1">
        <v>132</v>
      </c>
      <c r="E2549">
        <v>1092</v>
      </c>
      <c r="F2549">
        <f t="shared" si="63"/>
        <v>1112</v>
      </c>
      <c r="G2549">
        <v>1400</v>
      </c>
      <c r="H2549">
        <v>1560</v>
      </c>
    </row>
    <row r="2550" spans="1:8" x14ac:dyDescent="0.25">
      <c r="A2550" s="10">
        <v>3080</v>
      </c>
      <c r="B2550" s="1" t="s">
        <v>3124</v>
      </c>
      <c r="C2550" s="8" t="s">
        <v>3113</v>
      </c>
      <c r="D2550" s="1">
        <v>132</v>
      </c>
      <c r="E2550">
        <v>1092</v>
      </c>
      <c r="F2550">
        <f t="shared" si="63"/>
        <v>1112</v>
      </c>
      <c r="G2550">
        <v>1400</v>
      </c>
      <c r="H2550">
        <v>1560</v>
      </c>
    </row>
    <row r="2551" spans="1:8" x14ac:dyDescent="0.25">
      <c r="A2551" s="10">
        <v>3081</v>
      </c>
      <c r="B2551" s="1" t="s">
        <v>3124</v>
      </c>
      <c r="C2551" s="8" t="s">
        <v>3114</v>
      </c>
      <c r="D2551" s="1">
        <v>132</v>
      </c>
      <c r="E2551">
        <v>777</v>
      </c>
      <c r="F2551">
        <f t="shared" si="63"/>
        <v>797</v>
      </c>
      <c r="G2551">
        <v>1000</v>
      </c>
      <c r="H2551">
        <v>1110</v>
      </c>
    </row>
    <row r="2552" spans="1:8" x14ac:dyDescent="0.25">
      <c r="A2552" s="10">
        <v>3082</v>
      </c>
      <c r="B2552" s="1" t="s">
        <v>3124</v>
      </c>
      <c r="C2552" s="8" t="s">
        <v>3115</v>
      </c>
      <c r="D2552" s="1">
        <v>132</v>
      </c>
      <c r="E2552">
        <v>340</v>
      </c>
      <c r="F2552">
        <f t="shared" si="63"/>
        <v>360</v>
      </c>
      <c r="G2552">
        <v>430</v>
      </c>
      <c r="H2552">
        <v>485</v>
      </c>
    </row>
    <row r="2553" spans="1:8" x14ac:dyDescent="0.25">
      <c r="A2553" s="10">
        <v>3083</v>
      </c>
      <c r="B2553" s="1" t="s">
        <v>3124</v>
      </c>
      <c r="C2553" s="8" t="s">
        <v>3116</v>
      </c>
      <c r="D2553" s="1">
        <v>132</v>
      </c>
      <c r="E2553">
        <v>275</v>
      </c>
      <c r="F2553">
        <f t="shared" si="63"/>
        <v>295</v>
      </c>
      <c r="G2553">
        <v>350</v>
      </c>
      <c r="H2553">
        <v>395</v>
      </c>
    </row>
    <row r="2554" spans="1:8" x14ac:dyDescent="0.25">
      <c r="A2554" s="10">
        <v>3084</v>
      </c>
      <c r="B2554" s="1" t="s">
        <v>3124</v>
      </c>
      <c r="C2554" s="8" t="s">
        <v>3117</v>
      </c>
      <c r="D2554" s="1">
        <v>132</v>
      </c>
      <c r="E2554">
        <v>476</v>
      </c>
      <c r="F2554">
        <f t="shared" si="63"/>
        <v>496</v>
      </c>
      <c r="G2554">
        <v>600</v>
      </c>
      <c r="H2554">
        <v>680</v>
      </c>
    </row>
    <row r="2555" spans="1:8" x14ac:dyDescent="0.25">
      <c r="A2555" s="10">
        <v>3085</v>
      </c>
      <c r="B2555" s="1" t="s">
        <v>3124</v>
      </c>
      <c r="C2555" s="8" t="s">
        <v>3118</v>
      </c>
      <c r="D2555" s="1">
        <v>132</v>
      </c>
      <c r="E2555">
        <v>437</v>
      </c>
      <c r="F2555">
        <f t="shared" si="63"/>
        <v>457</v>
      </c>
      <c r="G2555">
        <v>570</v>
      </c>
      <c r="H2555">
        <v>625</v>
      </c>
    </row>
    <row r="2556" spans="1:8" x14ac:dyDescent="0.25">
      <c r="A2556" s="10">
        <v>3086</v>
      </c>
      <c r="B2556" s="1" t="s">
        <v>3124</v>
      </c>
      <c r="C2556" s="8" t="s">
        <v>3119</v>
      </c>
      <c r="D2556" s="1">
        <v>132</v>
      </c>
      <c r="E2556">
        <v>476</v>
      </c>
      <c r="F2556">
        <f t="shared" si="63"/>
        <v>496</v>
      </c>
      <c r="G2556">
        <v>600</v>
      </c>
      <c r="H2556">
        <v>680</v>
      </c>
    </row>
    <row r="2557" spans="1:8" x14ac:dyDescent="0.25">
      <c r="A2557" s="10">
        <v>3087</v>
      </c>
      <c r="B2557" s="1" t="s">
        <v>3124</v>
      </c>
      <c r="C2557" s="8" t="s">
        <v>3120</v>
      </c>
      <c r="D2557" s="1">
        <v>132</v>
      </c>
      <c r="E2557">
        <v>340</v>
      </c>
      <c r="F2557">
        <f t="shared" si="63"/>
        <v>360</v>
      </c>
      <c r="G2557">
        <v>440</v>
      </c>
      <c r="H2557">
        <v>485</v>
      </c>
    </row>
    <row r="2558" spans="1:8" x14ac:dyDescent="0.25">
      <c r="A2558" s="10">
        <v>3088</v>
      </c>
      <c r="B2558" s="1" t="s">
        <v>3124</v>
      </c>
      <c r="C2558" s="8" t="s">
        <v>3121</v>
      </c>
      <c r="D2558" s="1">
        <v>132</v>
      </c>
      <c r="E2558">
        <v>85</v>
      </c>
      <c r="F2558">
        <f t="shared" si="63"/>
        <v>105</v>
      </c>
      <c r="G2558">
        <v>100</v>
      </c>
      <c r="H2558">
        <v>120</v>
      </c>
    </row>
    <row r="2559" spans="1:8" x14ac:dyDescent="0.25">
      <c r="A2559" s="10">
        <v>3089</v>
      </c>
      <c r="B2559" s="1" t="s">
        <v>3124</v>
      </c>
      <c r="C2559" s="8" t="s">
        <v>3122</v>
      </c>
      <c r="D2559" s="1">
        <v>132</v>
      </c>
      <c r="E2559">
        <v>65</v>
      </c>
      <c r="F2559">
        <f t="shared" si="63"/>
        <v>85</v>
      </c>
      <c r="G2559">
        <v>80</v>
      </c>
      <c r="H2559">
        <v>93</v>
      </c>
    </row>
    <row r="2560" spans="1:8" x14ac:dyDescent="0.25">
      <c r="A2560" s="10">
        <v>3090</v>
      </c>
      <c r="B2560" s="1" t="s">
        <v>3124</v>
      </c>
      <c r="C2560" s="8" t="s">
        <v>3121</v>
      </c>
      <c r="D2560" s="1">
        <v>132</v>
      </c>
      <c r="E2560">
        <v>126</v>
      </c>
      <c r="F2560">
        <f t="shared" si="63"/>
        <v>146</v>
      </c>
      <c r="G2560">
        <v>160</v>
      </c>
      <c r="H2560">
        <v>180</v>
      </c>
    </row>
    <row r="2561" spans="1:8" x14ac:dyDescent="0.25">
      <c r="A2561" s="10">
        <v>3091</v>
      </c>
      <c r="B2561" s="1" t="s">
        <v>3124</v>
      </c>
      <c r="C2561" s="8" t="s">
        <v>3123</v>
      </c>
      <c r="D2561" s="1">
        <v>132</v>
      </c>
      <c r="E2561">
        <v>213</v>
      </c>
      <c r="F2561">
        <f t="shared" si="63"/>
        <v>233</v>
      </c>
      <c r="G2561">
        <v>270</v>
      </c>
      <c r="H2561">
        <v>305</v>
      </c>
    </row>
    <row r="2563" spans="1:8" x14ac:dyDescent="0.25">
      <c r="A2563" s="10">
        <v>3092</v>
      </c>
      <c r="B2563" s="1" t="s">
        <v>3243</v>
      </c>
      <c r="C2563" s="2" t="s">
        <v>3238</v>
      </c>
      <c r="D2563" s="1" t="s">
        <v>3383</v>
      </c>
      <c r="E2563">
        <v>1</v>
      </c>
      <c r="F2563">
        <v>2</v>
      </c>
      <c r="G2563">
        <v>2.5</v>
      </c>
      <c r="H2563">
        <v>2.5</v>
      </c>
    </row>
    <row r="2564" spans="1:8" x14ac:dyDescent="0.25">
      <c r="A2564" s="10">
        <v>3093</v>
      </c>
      <c r="B2564" s="1" t="s">
        <v>3243</v>
      </c>
      <c r="C2564" s="2" t="s">
        <v>3239</v>
      </c>
      <c r="D2564" s="1">
        <v>133</v>
      </c>
      <c r="E2564">
        <v>1</v>
      </c>
      <c r="F2564">
        <v>2</v>
      </c>
      <c r="G2564">
        <v>2.5</v>
      </c>
      <c r="H2564">
        <v>2.5</v>
      </c>
    </row>
    <row r="2565" spans="1:8" x14ac:dyDescent="0.25">
      <c r="A2565" s="10">
        <v>3094</v>
      </c>
      <c r="B2565" s="1" t="s">
        <v>3243</v>
      </c>
      <c r="C2565" s="2" t="s">
        <v>3240</v>
      </c>
      <c r="D2565" s="1">
        <v>133</v>
      </c>
      <c r="E2565">
        <v>1.5</v>
      </c>
      <c r="F2565">
        <v>2</v>
      </c>
      <c r="G2565">
        <v>4</v>
      </c>
      <c r="H2565">
        <v>4</v>
      </c>
    </row>
    <row r="2566" spans="1:8" x14ac:dyDescent="0.25">
      <c r="A2566" s="10">
        <v>3095</v>
      </c>
      <c r="B2566" s="1" t="s">
        <v>3243</v>
      </c>
      <c r="C2566" s="2" t="s">
        <v>3130</v>
      </c>
      <c r="D2566" s="1">
        <v>133</v>
      </c>
      <c r="E2566">
        <v>1.5</v>
      </c>
      <c r="F2566">
        <v>2</v>
      </c>
      <c r="G2566">
        <v>4</v>
      </c>
      <c r="H2566">
        <v>4</v>
      </c>
    </row>
    <row r="2567" spans="1:8" x14ac:dyDescent="0.25">
      <c r="A2567" s="10">
        <v>3096</v>
      </c>
      <c r="B2567" s="1" t="s">
        <v>3243</v>
      </c>
      <c r="C2567" s="2" t="s">
        <v>3131</v>
      </c>
      <c r="D2567" s="1">
        <v>133</v>
      </c>
      <c r="E2567">
        <v>2</v>
      </c>
      <c r="F2567">
        <v>3</v>
      </c>
      <c r="G2567">
        <v>5</v>
      </c>
      <c r="H2567">
        <v>5</v>
      </c>
    </row>
    <row r="2568" spans="1:8" x14ac:dyDescent="0.25">
      <c r="A2568" s="10">
        <v>3097</v>
      </c>
      <c r="B2568" s="1" t="s">
        <v>3243</v>
      </c>
      <c r="C2568" s="2" t="s">
        <v>3132</v>
      </c>
      <c r="D2568" s="1">
        <v>133</v>
      </c>
      <c r="E2568">
        <v>2</v>
      </c>
      <c r="F2568">
        <v>3</v>
      </c>
      <c r="G2568">
        <v>5</v>
      </c>
      <c r="H2568">
        <v>5</v>
      </c>
    </row>
    <row r="2569" spans="1:8" x14ac:dyDescent="0.25">
      <c r="A2569" s="10">
        <v>3098</v>
      </c>
      <c r="B2569" s="1" t="s">
        <v>3243</v>
      </c>
      <c r="C2569" s="2" t="s">
        <v>3133</v>
      </c>
      <c r="D2569" s="1">
        <v>133</v>
      </c>
      <c r="E2569">
        <v>2</v>
      </c>
      <c r="F2569">
        <v>3</v>
      </c>
      <c r="G2569">
        <v>5</v>
      </c>
      <c r="H2569">
        <v>5</v>
      </c>
    </row>
    <row r="2570" spans="1:8" x14ac:dyDescent="0.25">
      <c r="A2570" s="10">
        <v>3099</v>
      </c>
      <c r="B2570" s="1" t="s">
        <v>3243</v>
      </c>
      <c r="C2570" s="2" t="s">
        <v>3134</v>
      </c>
      <c r="D2570" s="1">
        <v>133</v>
      </c>
      <c r="E2570">
        <v>2.5</v>
      </c>
      <c r="F2570">
        <v>4</v>
      </c>
      <c r="G2570">
        <v>7.5</v>
      </c>
      <c r="H2570">
        <v>7.5</v>
      </c>
    </row>
    <row r="2571" spans="1:8" x14ac:dyDescent="0.25">
      <c r="A2571" s="10">
        <v>3100</v>
      </c>
      <c r="B2571" s="1" t="s">
        <v>3243</v>
      </c>
      <c r="C2571" s="2" t="s">
        <v>3135</v>
      </c>
      <c r="D2571" s="1">
        <v>133</v>
      </c>
      <c r="E2571">
        <v>2.5</v>
      </c>
      <c r="F2571">
        <v>4</v>
      </c>
      <c r="G2571">
        <v>7.5</v>
      </c>
      <c r="H2571">
        <v>7.5</v>
      </c>
    </row>
    <row r="2572" spans="1:8" x14ac:dyDescent="0.25">
      <c r="A2572" s="10">
        <v>3101</v>
      </c>
      <c r="B2572" s="1" t="s">
        <v>3243</v>
      </c>
      <c r="C2572" s="2" t="s">
        <v>3136</v>
      </c>
      <c r="D2572" s="1">
        <v>133</v>
      </c>
      <c r="E2572">
        <v>2.5</v>
      </c>
      <c r="F2572">
        <v>4</v>
      </c>
      <c r="G2572">
        <v>7.5</v>
      </c>
      <c r="H2572">
        <v>7.5</v>
      </c>
    </row>
    <row r="2573" spans="1:8" x14ac:dyDescent="0.25">
      <c r="A2573" s="10">
        <v>3102</v>
      </c>
      <c r="B2573" s="1" t="s">
        <v>3243</v>
      </c>
      <c r="C2573" s="2" t="s">
        <v>3137</v>
      </c>
      <c r="D2573" s="1">
        <v>133</v>
      </c>
      <c r="E2573">
        <v>2.5</v>
      </c>
      <c r="F2573">
        <v>4</v>
      </c>
      <c r="G2573">
        <v>7.5</v>
      </c>
      <c r="H2573">
        <v>7.5</v>
      </c>
    </row>
    <row r="2574" spans="1:8" x14ac:dyDescent="0.25">
      <c r="A2574" s="10">
        <v>3103</v>
      </c>
      <c r="B2574" s="1" t="s">
        <v>3243</v>
      </c>
      <c r="C2574" s="2" t="s">
        <v>3138</v>
      </c>
      <c r="D2574" s="1">
        <v>133</v>
      </c>
      <c r="E2574">
        <v>3</v>
      </c>
      <c r="F2574">
        <v>4</v>
      </c>
      <c r="G2574">
        <v>7.5</v>
      </c>
      <c r="H2574">
        <v>7.5</v>
      </c>
    </row>
    <row r="2575" spans="1:8" x14ac:dyDescent="0.25">
      <c r="A2575" s="10">
        <v>3104</v>
      </c>
      <c r="B2575" s="1" t="s">
        <v>3243</v>
      </c>
      <c r="C2575" s="2" t="s">
        <v>3139</v>
      </c>
      <c r="D2575" s="1">
        <v>133</v>
      </c>
      <c r="E2575">
        <v>3</v>
      </c>
      <c r="F2575">
        <v>4</v>
      </c>
      <c r="G2575">
        <v>7.5</v>
      </c>
      <c r="H2575">
        <v>7.5</v>
      </c>
    </row>
    <row r="2576" spans="1:8" x14ac:dyDescent="0.25">
      <c r="A2576" s="10">
        <v>3105</v>
      </c>
      <c r="B2576" s="1" t="s">
        <v>3243</v>
      </c>
      <c r="C2576" s="2" t="s">
        <v>3140</v>
      </c>
      <c r="D2576" s="1">
        <v>133</v>
      </c>
      <c r="E2576">
        <v>3</v>
      </c>
      <c r="F2576">
        <v>4</v>
      </c>
      <c r="G2576">
        <v>7.5</v>
      </c>
      <c r="H2576">
        <v>7.5</v>
      </c>
    </row>
    <row r="2577" spans="1:8" x14ac:dyDescent="0.25">
      <c r="A2577" s="10">
        <v>3106</v>
      </c>
      <c r="B2577" s="1" t="s">
        <v>3243</v>
      </c>
      <c r="C2577" s="2" t="s">
        <v>3141</v>
      </c>
      <c r="D2577" s="1">
        <v>133</v>
      </c>
      <c r="E2577">
        <v>4</v>
      </c>
      <c r="F2577">
        <v>5</v>
      </c>
      <c r="G2577">
        <v>10</v>
      </c>
      <c r="H2577">
        <v>10</v>
      </c>
    </row>
    <row r="2578" spans="1:8" x14ac:dyDescent="0.25">
      <c r="A2578" s="10">
        <v>3107</v>
      </c>
      <c r="B2578" s="1" t="s">
        <v>3243</v>
      </c>
      <c r="C2578" s="2" t="s">
        <v>3142</v>
      </c>
      <c r="D2578" s="1">
        <v>133</v>
      </c>
      <c r="E2578">
        <v>4.5</v>
      </c>
      <c r="F2578">
        <v>5</v>
      </c>
      <c r="G2578">
        <v>10</v>
      </c>
      <c r="H2578">
        <v>10</v>
      </c>
    </row>
    <row r="2579" spans="1:8" x14ac:dyDescent="0.25">
      <c r="A2579" s="10">
        <v>3108</v>
      </c>
      <c r="B2579" s="1" t="s">
        <v>3243</v>
      </c>
      <c r="C2579" s="2" t="s">
        <v>3143</v>
      </c>
      <c r="D2579" s="1">
        <v>133</v>
      </c>
      <c r="E2579">
        <v>4.5</v>
      </c>
      <c r="F2579">
        <v>5</v>
      </c>
      <c r="G2579">
        <v>10</v>
      </c>
      <c r="H2579">
        <v>10</v>
      </c>
    </row>
    <row r="2580" spans="1:8" x14ac:dyDescent="0.25">
      <c r="A2580" s="10">
        <v>3109</v>
      </c>
      <c r="B2580" s="1" t="s">
        <v>3243</v>
      </c>
      <c r="C2580" s="2" t="s">
        <v>3144</v>
      </c>
      <c r="D2580" s="1">
        <v>133</v>
      </c>
      <c r="E2580">
        <v>5</v>
      </c>
      <c r="F2580">
        <v>5</v>
      </c>
      <c r="G2580">
        <v>10</v>
      </c>
      <c r="H2580">
        <v>10</v>
      </c>
    </row>
    <row r="2581" spans="1:8" x14ac:dyDescent="0.25">
      <c r="A2581" s="10">
        <v>3110</v>
      </c>
      <c r="B2581" s="1" t="s">
        <v>3243</v>
      </c>
      <c r="C2581" s="2" t="s">
        <v>3145</v>
      </c>
      <c r="D2581" s="1">
        <v>133</v>
      </c>
      <c r="E2581">
        <v>5</v>
      </c>
      <c r="F2581">
        <v>7</v>
      </c>
      <c r="G2581">
        <v>12.5</v>
      </c>
      <c r="H2581">
        <v>12.5</v>
      </c>
    </row>
    <row r="2582" spans="1:8" x14ac:dyDescent="0.25">
      <c r="A2582" s="10">
        <v>3111</v>
      </c>
      <c r="B2582" s="1" t="s">
        <v>3243</v>
      </c>
      <c r="C2582" s="2" t="s">
        <v>3146</v>
      </c>
      <c r="D2582" s="1">
        <v>133</v>
      </c>
      <c r="E2582">
        <v>5</v>
      </c>
      <c r="F2582">
        <v>7</v>
      </c>
      <c r="G2582">
        <v>12.5</v>
      </c>
      <c r="H2582">
        <v>12.5</v>
      </c>
    </row>
    <row r="2583" spans="1:8" x14ac:dyDescent="0.25">
      <c r="A2583" s="10">
        <v>3112</v>
      </c>
      <c r="B2583" s="1" t="s">
        <v>3243</v>
      </c>
      <c r="C2583" s="2" t="s">
        <v>3147</v>
      </c>
      <c r="D2583" s="1">
        <v>133</v>
      </c>
      <c r="E2583">
        <v>5</v>
      </c>
      <c r="F2583">
        <v>7</v>
      </c>
      <c r="G2583">
        <v>12.5</v>
      </c>
      <c r="H2583">
        <v>12.5</v>
      </c>
    </row>
    <row r="2584" spans="1:8" x14ac:dyDescent="0.25">
      <c r="A2584" s="10">
        <v>3113</v>
      </c>
      <c r="B2584" s="1" t="s">
        <v>3243</v>
      </c>
      <c r="C2584" s="2" t="s">
        <v>3148</v>
      </c>
      <c r="D2584" s="1">
        <v>133</v>
      </c>
      <c r="E2584">
        <v>5</v>
      </c>
      <c r="F2584">
        <v>7</v>
      </c>
      <c r="G2584">
        <v>12.5</v>
      </c>
      <c r="H2584">
        <v>12.5</v>
      </c>
    </row>
    <row r="2585" spans="1:8" x14ac:dyDescent="0.25">
      <c r="A2585" s="10">
        <v>3114</v>
      </c>
      <c r="B2585" s="1" t="s">
        <v>3243</v>
      </c>
      <c r="C2585" s="2" t="s">
        <v>3149</v>
      </c>
      <c r="D2585" s="1">
        <v>133</v>
      </c>
      <c r="E2585">
        <v>6</v>
      </c>
      <c r="F2585">
        <v>8</v>
      </c>
      <c r="G2585">
        <v>15</v>
      </c>
      <c r="H2585">
        <v>15</v>
      </c>
    </row>
    <row r="2586" spans="1:8" x14ac:dyDescent="0.25">
      <c r="A2586" s="10">
        <v>3115</v>
      </c>
      <c r="B2586" s="1" t="s">
        <v>3243</v>
      </c>
      <c r="C2586" s="2" t="s">
        <v>3150</v>
      </c>
      <c r="D2586" s="1">
        <v>133</v>
      </c>
      <c r="E2586">
        <v>6</v>
      </c>
      <c r="F2586">
        <v>8</v>
      </c>
      <c r="G2586">
        <v>15</v>
      </c>
      <c r="H2586">
        <v>15</v>
      </c>
    </row>
    <row r="2587" spans="1:8" x14ac:dyDescent="0.25">
      <c r="A2587" s="10">
        <v>3116</v>
      </c>
      <c r="B2587" s="1" t="s">
        <v>3243</v>
      </c>
      <c r="C2587" s="2" t="s">
        <v>3151</v>
      </c>
      <c r="D2587" s="1">
        <v>133</v>
      </c>
      <c r="E2587">
        <v>6</v>
      </c>
      <c r="F2587">
        <v>8</v>
      </c>
      <c r="G2587">
        <v>15</v>
      </c>
      <c r="H2587">
        <v>15</v>
      </c>
    </row>
    <row r="2588" spans="1:8" x14ac:dyDescent="0.25">
      <c r="A2588" s="10">
        <v>3117</v>
      </c>
      <c r="B2588" s="1" t="s">
        <v>3243</v>
      </c>
      <c r="C2588" s="2" t="s">
        <v>3152</v>
      </c>
      <c r="D2588" s="1">
        <v>133</v>
      </c>
      <c r="E2588">
        <v>6</v>
      </c>
      <c r="F2588">
        <v>8</v>
      </c>
      <c r="G2588">
        <v>15</v>
      </c>
      <c r="H2588">
        <v>15</v>
      </c>
    </row>
    <row r="2589" spans="1:8" x14ac:dyDescent="0.25">
      <c r="A2589" s="10">
        <v>3118</v>
      </c>
      <c r="B2589" s="1" t="s">
        <v>3243</v>
      </c>
      <c r="C2589" s="2" t="s">
        <v>3153</v>
      </c>
      <c r="D2589" s="1">
        <v>133</v>
      </c>
      <c r="E2589">
        <v>7.5</v>
      </c>
      <c r="F2589">
        <v>10</v>
      </c>
      <c r="G2589">
        <v>17.5</v>
      </c>
      <c r="H2589">
        <v>17.5</v>
      </c>
    </row>
    <row r="2590" spans="1:8" x14ac:dyDescent="0.25">
      <c r="A2590" s="10">
        <v>3119</v>
      </c>
      <c r="B2590" s="1" t="s">
        <v>3243</v>
      </c>
      <c r="C2590" s="2" t="s">
        <v>3154</v>
      </c>
      <c r="D2590" s="1">
        <v>133</v>
      </c>
      <c r="E2590">
        <v>7.5</v>
      </c>
      <c r="F2590">
        <v>10</v>
      </c>
      <c r="G2590">
        <v>17.5</v>
      </c>
      <c r="H2590">
        <v>17.5</v>
      </c>
    </row>
    <row r="2591" spans="1:8" x14ac:dyDescent="0.25">
      <c r="A2591" s="10">
        <v>3120</v>
      </c>
      <c r="B2591" s="1" t="s">
        <v>3243</v>
      </c>
      <c r="C2591" s="2" t="s">
        <v>3155</v>
      </c>
      <c r="D2591" s="1">
        <v>133</v>
      </c>
      <c r="E2591">
        <v>7.5</v>
      </c>
      <c r="F2591">
        <v>10</v>
      </c>
      <c r="G2591">
        <v>17.5</v>
      </c>
      <c r="H2591">
        <v>17.5</v>
      </c>
    </row>
    <row r="2592" spans="1:8" x14ac:dyDescent="0.25">
      <c r="A2592" s="10">
        <v>3121</v>
      </c>
      <c r="B2592" s="1" t="s">
        <v>3243</v>
      </c>
      <c r="C2592" s="2" t="s">
        <v>3156</v>
      </c>
      <c r="D2592" s="1">
        <v>133</v>
      </c>
      <c r="E2592">
        <v>7.5</v>
      </c>
      <c r="F2592">
        <v>10</v>
      </c>
      <c r="G2592">
        <v>17.5</v>
      </c>
      <c r="H2592">
        <v>17.5</v>
      </c>
    </row>
    <row r="2593" spans="1:8" x14ac:dyDescent="0.25">
      <c r="A2593" s="10">
        <v>3122</v>
      </c>
      <c r="B2593" s="1" t="s">
        <v>3243</v>
      </c>
      <c r="C2593" s="2" t="s">
        <v>3157</v>
      </c>
      <c r="D2593" s="1">
        <v>133</v>
      </c>
      <c r="E2593">
        <v>9</v>
      </c>
      <c r="F2593">
        <v>13</v>
      </c>
      <c r="G2593">
        <v>20</v>
      </c>
      <c r="H2593">
        <v>20</v>
      </c>
    </row>
    <row r="2594" spans="1:8" x14ac:dyDescent="0.25">
      <c r="A2594" s="10">
        <v>3123</v>
      </c>
      <c r="B2594" s="1" t="s">
        <v>3243</v>
      </c>
      <c r="C2594" s="2" t="s">
        <v>3158</v>
      </c>
      <c r="D2594" s="1">
        <v>133</v>
      </c>
      <c r="E2594">
        <v>9</v>
      </c>
      <c r="F2594">
        <v>13</v>
      </c>
      <c r="G2594">
        <v>20</v>
      </c>
      <c r="H2594">
        <v>20</v>
      </c>
    </row>
    <row r="2595" spans="1:8" x14ac:dyDescent="0.25">
      <c r="A2595" s="10">
        <v>3124</v>
      </c>
      <c r="B2595" s="1" t="s">
        <v>3243</v>
      </c>
      <c r="C2595" s="2" t="s">
        <v>3159</v>
      </c>
      <c r="D2595" s="1">
        <v>133</v>
      </c>
      <c r="E2595">
        <v>9</v>
      </c>
      <c r="F2595">
        <v>13</v>
      </c>
      <c r="G2595">
        <v>20</v>
      </c>
      <c r="H2595">
        <v>20</v>
      </c>
    </row>
    <row r="2596" spans="1:8" x14ac:dyDescent="0.25">
      <c r="A2596" s="10">
        <v>3125</v>
      </c>
      <c r="B2596" s="1" t="s">
        <v>3243</v>
      </c>
      <c r="C2596" s="2" t="s">
        <v>3160</v>
      </c>
      <c r="D2596" s="1">
        <v>133</v>
      </c>
      <c r="E2596">
        <v>9</v>
      </c>
      <c r="F2596">
        <v>13</v>
      </c>
      <c r="G2596">
        <v>20</v>
      </c>
      <c r="H2596">
        <v>20</v>
      </c>
    </row>
    <row r="2597" spans="1:8" x14ac:dyDescent="0.25">
      <c r="A2597"/>
      <c r="B2597" s="1"/>
      <c r="C2597" s="2"/>
    </row>
    <row r="2598" spans="1:8" x14ac:dyDescent="0.25">
      <c r="A2598" s="10">
        <v>3126</v>
      </c>
      <c r="B2598" s="1" t="s">
        <v>3244</v>
      </c>
      <c r="C2598" s="2" t="s">
        <v>3241</v>
      </c>
      <c r="D2598" s="1" t="s">
        <v>3384</v>
      </c>
      <c r="E2598">
        <v>1</v>
      </c>
      <c r="F2598">
        <v>2</v>
      </c>
      <c r="G2598">
        <v>2.5</v>
      </c>
      <c r="H2598">
        <v>2.5</v>
      </c>
    </row>
    <row r="2599" spans="1:8" x14ac:dyDescent="0.25">
      <c r="A2599" s="10">
        <v>3127</v>
      </c>
      <c r="B2599" s="1" t="s">
        <v>3244</v>
      </c>
      <c r="C2599" s="2" t="s">
        <v>3242</v>
      </c>
      <c r="D2599" s="1">
        <v>134</v>
      </c>
      <c r="E2599">
        <v>1</v>
      </c>
      <c r="F2599">
        <v>2</v>
      </c>
      <c r="G2599">
        <v>2.5</v>
      </c>
      <c r="H2599">
        <v>2.5</v>
      </c>
    </row>
    <row r="2600" spans="1:8" x14ac:dyDescent="0.25">
      <c r="A2600" s="10">
        <v>3128</v>
      </c>
      <c r="B2600" s="1" t="s">
        <v>3244</v>
      </c>
      <c r="C2600" s="2" t="s">
        <v>3161</v>
      </c>
      <c r="D2600" s="1">
        <v>134</v>
      </c>
      <c r="E2600">
        <v>1.5</v>
      </c>
      <c r="F2600">
        <v>2</v>
      </c>
      <c r="G2600">
        <v>4</v>
      </c>
      <c r="H2600">
        <v>4</v>
      </c>
    </row>
    <row r="2601" spans="1:8" x14ac:dyDescent="0.25">
      <c r="A2601" s="10">
        <v>3129</v>
      </c>
      <c r="B2601" s="1" t="s">
        <v>3244</v>
      </c>
      <c r="C2601" s="2" t="s">
        <v>3162</v>
      </c>
      <c r="D2601" s="1">
        <v>134</v>
      </c>
      <c r="E2601">
        <v>1.5</v>
      </c>
      <c r="F2601">
        <v>2</v>
      </c>
      <c r="G2601">
        <v>4</v>
      </c>
      <c r="H2601">
        <v>4</v>
      </c>
    </row>
    <row r="2602" spans="1:8" x14ac:dyDescent="0.25">
      <c r="A2602" s="10">
        <v>3130</v>
      </c>
      <c r="B2602" s="1" t="s">
        <v>3244</v>
      </c>
      <c r="C2602" s="2" t="s">
        <v>3163</v>
      </c>
      <c r="D2602" s="1">
        <v>134</v>
      </c>
      <c r="E2602">
        <v>2</v>
      </c>
      <c r="F2602">
        <v>3</v>
      </c>
      <c r="G2602">
        <v>5</v>
      </c>
      <c r="H2602">
        <v>5</v>
      </c>
    </row>
    <row r="2603" spans="1:8" x14ac:dyDescent="0.25">
      <c r="A2603" s="10">
        <v>3131</v>
      </c>
      <c r="B2603" s="1" t="s">
        <v>3244</v>
      </c>
      <c r="C2603" s="2" t="s">
        <v>3164</v>
      </c>
      <c r="D2603" s="1">
        <v>134</v>
      </c>
      <c r="E2603">
        <v>2</v>
      </c>
      <c r="F2603">
        <v>3</v>
      </c>
      <c r="G2603">
        <v>5</v>
      </c>
      <c r="H2603">
        <v>5</v>
      </c>
    </row>
    <row r="2604" spans="1:8" x14ac:dyDescent="0.25">
      <c r="A2604" s="10">
        <v>3132</v>
      </c>
      <c r="B2604" s="1" t="s">
        <v>3244</v>
      </c>
      <c r="C2604" s="2" t="s">
        <v>3165</v>
      </c>
      <c r="D2604" s="1">
        <v>134</v>
      </c>
      <c r="E2604">
        <v>2</v>
      </c>
      <c r="F2604">
        <v>3</v>
      </c>
      <c r="G2604">
        <v>5</v>
      </c>
      <c r="H2604">
        <v>5</v>
      </c>
    </row>
    <row r="2605" spans="1:8" x14ac:dyDescent="0.25">
      <c r="A2605" s="10">
        <v>3133</v>
      </c>
      <c r="B2605" s="1" t="s">
        <v>3244</v>
      </c>
      <c r="C2605" s="2" t="s">
        <v>3166</v>
      </c>
      <c r="D2605" s="1">
        <v>134</v>
      </c>
      <c r="E2605">
        <v>2.5</v>
      </c>
      <c r="F2605">
        <v>4</v>
      </c>
      <c r="G2605">
        <v>7.5</v>
      </c>
      <c r="H2605">
        <v>7.5</v>
      </c>
    </row>
    <row r="2606" spans="1:8" x14ac:dyDescent="0.25">
      <c r="A2606" s="10">
        <v>3134</v>
      </c>
      <c r="B2606" s="1" t="s">
        <v>3244</v>
      </c>
      <c r="C2606" s="2" t="s">
        <v>3167</v>
      </c>
      <c r="D2606" s="1">
        <v>134</v>
      </c>
      <c r="E2606">
        <v>2.5</v>
      </c>
      <c r="F2606">
        <v>4</v>
      </c>
      <c r="G2606">
        <v>7.5</v>
      </c>
      <c r="H2606">
        <v>7.5</v>
      </c>
    </row>
    <row r="2607" spans="1:8" x14ac:dyDescent="0.25">
      <c r="A2607" s="10">
        <v>3135</v>
      </c>
      <c r="B2607" s="1" t="s">
        <v>3244</v>
      </c>
      <c r="C2607" s="2" t="s">
        <v>3168</v>
      </c>
      <c r="D2607" s="1">
        <v>134</v>
      </c>
      <c r="E2607">
        <v>2.5</v>
      </c>
      <c r="F2607">
        <v>4</v>
      </c>
      <c r="G2607">
        <v>7.5</v>
      </c>
      <c r="H2607">
        <v>7.5</v>
      </c>
    </row>
    <row r="2608" spans="1:8" x14ac:dyDescent="0.25">
      <c r="A2608" s="10">
        <v>3136</v>
      </c>
      <c r="B2608" s="1" t="s">
        <v>3244</v>
      </c>
      <c r="C2608" s="2" t="s">
        <v>3169</v>
      </c>
      <c r="D2608" s="1">
        <v>134</v>
      </c>
      <c r="E2608">
        <v>2.5</v>
      </c>
      <c r="F2608">
        <v>4</v>
      </c>
      <c r="G2608">
        <v>7.5</v>
      </c>
      <c r="H2608">
        <v>7.5</v>
      </c>
    </row>
    <row r="2609" spans="1:8" x14ac:dyDescent="0.25">
      <c r="A2609" s="10">
        <v>3137</v>
      </c>
      <c r="B2609" s="1" t="s">
        <v>3244</v>
      </c>
      <c r="C2609" s="2" t="s">
        <v>3170</v>
      </c>
      <c r="D2609" s="1">
        <v>134</v>
      </c>
      <c r="E2609">
        <v>3</v>
      </c>
      <c r="F2609">
        <v>4</v>
      </c>
      <c r="G2609">
        <v>7.5</v>
      </c>
      <c r="H2609">
        <v>7.5</v>
      </c>
    </row>
    <row r="2610" spans="1:8" x14ac:dyDescent="0.25">
      <c r="A2610" s="10">
        <v>3138</v>
      </c>
      <c r="B2610" s="1" t="s">
        <v>3244</v>
      </c>
      <c r="C2610" s="2" t="s">
        <v>3171</v>
      </c>
      <c r="D2610" s="1">
        <v>134</v>
      </c>
      <c r="E2610">
        <v>3</v>
      </c>
      <c r="F2610">
        <v>4</v>
      </c>
      <c r="G2610">
        <v>7.5</v>
      </c>
      <c r="H2610">
        <v>7.5</v>
      </c>
    </row>
    <row r="2611" spans="1:8" x14ac:dyDescent="0.25">
      <c r="A2611" s="10">
        <v>3139</v>
      </c>
      <c r="B2611" s="1" t="s">
        <v>3244</v>
      </c>
      <c r="C2611" s="2" t="s">
        <v>3172</v>
      </c>
      <c r="D2611" s="1">
        <v>134</v>
      </c>
      <c r="E2611">
        <v>3</v>
      </c>
      <c r="F2611">
        <v>4</v>
      </c>
      <c r="G2611">
        <v>7.5</v>
      </c>
      <c r="H2611">
        <v>7.5</v>
      </c>
    </row>
    <row r="2612" spans="1:8" x14ac:dyDescent="0.25">
      <c r="A2612" s="10">
        <v>3140</v>
      </c>
      <c r="B2612" s="1" t="s">
        <v>3244</v>
      </c>
      <c r="C2612" s="2" t="s">
        <v>3173</v>
      </c>
      <c r="D2612" s="1">
        <v>134</v>
      </c>
      <c r="E2612">
        <v>4</v>
      </c>
      <c r="F2612">
        <v>5</v>
      </c>
      <c r="G2612">
        <v>10</v>
      </c>
      <c r="H2612">
        <v>10</v>
      </c>
    </row>
    <row r="2613" spans="1:8" x14ac:dyDescent="0.25">
      <c r="A2613" s="10">
        <v>3141</v>
      </c>
      <c r="B2613" s="1" t="s">
        <v>3244</v>
      </c>
      <c r="C2613" s="2" t="s">
        <v>3174</v>
      </c>
      <c r="D2613" s="1">
        <v>134</v>
      </c>
      <c r="E2613">
        <v>4.5</v>
      </c>
      <c r="F2613">
        <v>5</v>
      </c>
      <c r="G2613">
        <v>10</v>
      </c>
      <c r="H2613">
        <v>10</v>
      </c>
    </row>
    <row r="2614" spans="1:8" x14ac:dyDescent="0.25">
      <c r="A2614" s="10">
        <v>3142</v>
      </c>
      <c r="B2614" s="1" t="s">
        <v>3244</v>
      </c>
      <c r="C2614" s="2" t="s">
        <v>3175</v>
      </c>
      <c r="D2614" s="1">
        <v>134</v>
      </c>
      <c r="E2614">
        <v>4.5</v>
      </c>
      <c r="F2614">
        <v>5</v>
      </c>
      <c r="G2614">
        <v>10</v>
      </c>
      <c r="H2614">
        <v>10</v>
      </c>
    </row>
    <row r="2615" spans="1:8" x14ac:dyDescent="0.25">
      <c r="A2615" s="10">
        <v>3143</v>
      </c>
      <c r="B2615" s="1" t="s">
        <v>3244</v>
      </c>
      <c r="C2615" s="2" t="s">
        <v>3176</v>
      </c>
      <c r="D2615" s="1">
        <v>134</v>
      </c>
      <c r="E2615">
        <v>5</v>
      </c>
      <c r="F2615">
        <v>5</v>
      </c>
      <c r="G2615">
        <v>10</v>
      </c>
      <c r="H2615">
        <v>10</v>
      </c>
    </row>
    <row r="2616" spans="1:8" x14ac:dyDescent="0.25">
      <c r="A2616" s="10">
        <v>3144</v>
      </c>
      <c r="B2616" s="1" t="s">
        <v>3244</v>
      </c>
      <c r="C2616" s="2" t="s">
        <v>3177</v>
      </c>
      <c r="D2616" s="1">
        <v>134</v>
      </c>
      <c r="E2616">
        <v>5</v>
      </c>
      <c r="F2616">
        <v>7</v>
      </c>
      <c r="G2616">
        <v>12.5</v>
      </c>
      <c r="H2616">
        <v>12.5</v>
      </c>
    </row>
    <row r="2617" spans="1:8" x14ac:dyDescent="0.25">
      <c r="A2617" s="10">
        <v>3145</v>
      </c>
      <c r="B2617" s="1" t="s">
        <v>3244</v>
      </c>
      <c r="C2617" s="2" t="s">
        <v>3178</v>
      </c>
      <c r="D2617" s="1">
        <v>134</v>
      </c>
      <c r="E2617">
        <v>5</v>
      </c>
      <c r="F2617">
        <v>7</v>
      </c>
      <c r="G2617">
        <v>12.5</v>
      </c>
      <c r="H2617">
        <v>12.5</v>
      </c>
    </row>
    <row r="2618" spans="1:8" x14ac:dyDescent="0.25">
      <c r="A2618" s="10">
        <v>3146</v>
      </c>
      <c r="B2618" s="1" t="s">
        <v>3244</v>
      </c>
      <c r="C2618" s="2" t="s">
        <v>3179</v>
      </c>
      <c r="D2618" s="1">
        <v>134</v>
      </c>
      <c r="E2618">
        <v>5</v>
      </c>
      <c r="F2618">
        <v>7</v>
      </c>
      <c r="G2618">
        <v>12.5</v>
      </c>
      <c r="H2618">
        <v>12.5</v>
      </c>
    </row>
    <row r="2619" spans="1:8" x14ac:dyDescent="0.25">
      <c r="A2619" s="10">
        <v>3147</v>
      </c>
      <c r="B2619" s="1" t="s">
        <v>3244</v>
      </c>
      <c r="C2619" s="2" t="s">
        <v>3180</v>
      </c>
      <c r="D2619" s="1">
        <v>134</v>
      </c>
      <c r="E2619">
        <v>5</v>
      </c>
      <c r="F2619">
        <v>7</v>
      </c>
      <c r="G2619">
        <v>12.5</v>
      </c>
      <c r="H2619">
        <v>12.5</v>
      </c>
    </row>
    <row r="2620" spans="1:8" x14ac:dyDescent="0.25">
      <c r="A2620" s="10">
        <v>3148</v>
      </c>
      <c r="B2620" s="1" t="s">
        <v>3244</v>
      </c>
      <c r="C2620" s="2" t="s">
        <v>3181</v>
      </c>
      <c r="D2620" s="1">
        <v>134</v>
      </c>
      <c r="E2620">
        <v>6</v>
      </c>
      <c r="F2620">
        <v>8</v>
      </c>
      <c r="G2620">
        <v>15</v>
      </c>
      <c r="H2620">
        <v>15</v>
      </c>
    </row>
    <row r="2621" spans="1:8" x14ac:dyDescent="0.25">
      <c r="A2621" s="10">
        <v>3149</v>
      </c>
      <c r="B2621" s="1" t="s">
        <v>3244</v>
      </c>
      <c r="C2621" s="2" t="s">
        <v>3182</v>
      </c>
      <c r="D2621" s="1">
        <v>134</v>
      </c>
      <c r="E2621">
        <v>6</v>
      </c>
      <c r="F2621">
        <v>8</v>
      </c>
      <c r="G2621">
        <v>15</v>
      </c>
      <c r="H2621">
        <v>15</v>
      </c>
    </row>
    <row r="2622" spans="1:8" x14ac:dyDescent="0.25">
      <c r="A2622" s="10">
        <v>3150</v>
      </c>
      <c r="B2622" s="1" t="s">
        <v>3244</v>
      </c>
      <c r="C2622" s="2" t="s">
        <v>3183</v>
      </c>
      <c r="D2622" s="1">
        <v>134</v>
      </c>
      <c r="E2622">
        <v>6</v>
      </c>
      <c r="F2622">
        <v>8</v>
      </c>
      <c r="G2622">
        <v>15</v>
      </c>
      <c r="H2622">
        <v>15</v>
      </c>
    </row>
    <row r="2623" spans="1:8" x14ac:dyDescent="0.25">
      <c r="A2623" s="10">
        <v>3151</v>
      </c>
      <c r="B2623" s="1" t="s">
        <v>3244</v>
      </c>
      <c r="C2623" s="2" t="s">
        <v>3184</v>
      </c>
      <c r="D2623" s="1">
        <v>134</v>
      </c>
      <c r="E2623">
        <v>6</v>
      </c>
      <c r="F2623">
        <v>8</v>
      </c>
      <c r="G2623">
        <v>15</v>
      </c>
      <c r="H2623">
        <v>15</v>
      </c>
    </row>
    <row r="2624" spans="1:8" x14ac:dyDescent="0.25">
      <c r="A2624" s="10">
        <v>3152</v>
      </c>
      <c r="B2624" s="1" t="s">
        <v>3244</v>
      </c>
      <c r="C2624" s="2" t="s">
        <v>3185</v>
      </c>
      <c r="D2624" s="1">
        <v>134</v>
      </c>
      <c r="E2624">
        <v>7.5</v>
      </c>
      <c r="F2624">
        <v>10</v>
      </c>
      <c r="G2624">
        <v>17.5</v>
      </c>
      <c r="H2624">
        <v>17.5</v>
      </c>
    </row>
    <row r="2625" spans="1:8" x14ac:dyDescent="0.25">
      <c r="A2625" s="10">
        <v>3153</v>
      </c>
      <c r="B2625" s="1" t="s">
        <v>3244</v>
      </c>
      <c r="C2625" s="2" t="s">
        <v>3186</v>
      </c>
      <c r="D2625" s="1">
        <v>134</v>
      </c>
      <c r="E2625">
        <v>7.5</v>
      </c>
      <c r="F2625">
        <v>10</v>
      </c>
      <c r="G2625">
        <v>17.5</v>
      </c>
      <c r="H2625">
        <v>17.5</v>
      </c>
    </row>
    <row r="2626" spans="1:8" x14ac:dyDescent="0.25">
      <c r="A2626" s="10">
        <v>3154</v>
      </c>
      <c r="B2626" s="1" t="s">
        <v>3244</v>
      </c>
      <c r="C2626" s="2" t="s">
        <v>3187</v>
      </c>
      <c r="D2626" s="1">
        <v>134</v>
      </c>
      <c r="E2626">
        <v>7.5</v>
      </c>
      <c r="F2626">
        <v>10</v>
      </c>
      <c r="G2626">
        <v>17.5</v>
      </c>
      <c r="H2626">
        <v>17.5</v>
      </c>
    </row>
    <row r="2627" spans="1:8" x14ac:dyDescent="0.25">
      <c r="A2627" s="10">
        <v>3155</v>
      </c>
      <c r="B2627" s="1" t="s">
        <v>3244</v>
      </c>
      <c r="C2627" s="2" t="s">
        <v>3188</v>
      </c>
      <c r="D2627" s="1">
        <v>134</v>
      </c>
      <c r="E2627">
        <v>7.5</v>
      </c>
      <c r="F2627">
        <v>10</v>
      </c>
      <c r="G2627">
        <v>17.5</v>
      </c>
      <c r="H2627">
        <v>17.5</v>
      </c>
    </row>
    <row r="2628" spans="1:8" x14ac:dyDescent="0.25">
      <c r="A2628" s="10">
        <v>3156</v>
      </c>
      <c r="B2628" s="1" t="s">
        <v>3244</v>
      </c>
      <c r="C2628" s="2" t="s">
        <v>3189</v>
      </c>
      <c r="D2628" s="1">
        <v>134</v>
      </c>
      <c r="E2628">
        <v>9</v>
      </c>
      <c r="F2628">
        <v>13</v>
      </c>
      <c r="G2628">
        <v>20</v>
      </c>
      <c r="H2628">
        <v>20</v>
      </c>
    </row>
    <row r="2629" spans="1:8" x14ac:dyDescent="0.25">
      <c r="A2629" s="10">
        <v>3157</v>
      </c>
      <c r="B2629" s="1" t="s">
        <v>3244</v>
      </c>
      <c r="C2629" s="2" t="s">
        <v>3190</v>
      </c>
      <c r="D2629" s="1">
        <v>134</v>
      </c>
      <c r="E2629">
        <v>9</v>
      </c>
      <c r="F2629">
        <v>13</v>
      </c>
      <c r="G2629">
        <v>20</v>
      </c>
      <c r="H2629">
        <v>20</v>
      </c>
    </row>
    <row r="2630" spans="1:8" x14ac:dyDescent="0.25">
      <c r="A2630" s="10">
        <v>3158</v>
      </c>
      <c r="B2630" s="1" t="s">
        <v>3244</v>
      </c>
      <c r="C2630" s="2" t="s">
        <v>3191</v>
      </c>
      <c r="D2630" s="1">
        <v>134</v>
      </c>
      <c r="E2630">
        <v>9</v>
      </c>
      <c r="F2630">
        <v>13</v>
      </c>
      <c r="G2630">
        <v>20</v>
      </c>
      <c r="H2630">
        <v>20</v>
      </c>
    </row>
    <row r="2631" spans="1:8" x14ac:dyDescent="0.25">
      <c r="A2631"/>
      <c r="B2631" s="1"/>
      <c r="C2631" s="2"/>
    </row>
    <row r="2632" spans="1:8" x14ac:dyDescent="0.25">
      <c r="A2632" s="10">
        <v>3159</v>
      </c>
      <c r="B2632" s="1" t="s">
        <v>3244</v>
      </c>
      <c r="C2632" s="2" t="s">
        <v>3245</v>
      </c>
      <c r="D2632" s="1" t="s">
        <v>3385</v>
      </c>
      <c r="E2632" s="2"/>
    </row>
    <row r="2633" spans="1:8" x14ac:dyDescent="0.25">
      <c r="A2633" s="10">
        <v>3160</v>
      </c>
      <c r="B2633" s="1" t="s">
        <v>3244</v>
      </c>
      <c r="C2633" s="2" t="s">
        <v>3246</v>
      </c>
      <c r="D2633" s="1">
        <v>135</v>
      </c>
      <c r="E2633" s="2"/>
    </row>
    <row r="2634" spans="1:8" x14ac:dyDescent="0.25">
      <c r="A2634" s="10">
        <v>3161</v>
      </c>
      <c r="B2634" s="1" t="s">
        <v>3244</v>
      </c>
      <c r="C2634" s="2" t="s">
        <v>3192</v>
      </c>
      <c r="D2634" s="1">
        <v>135</v>
      </c>
      <c r="E2634" s="2"/>
    </row>
    <row r="2635" spans="1:8" x14ac:dyDescent="0.25">
      <c r="A2635" s="10">
        <v>3162</v>
      </c>
      <c r="B2635" s="1" t="s">
        <v>3244</v>
      </c>
      <c r="C2635" s="2" t="s">
        <v>3193</v>
      </c>
      <c r="D2635" s="1">
        <v>135</v>
      </c>
      <c r="E2635" s="2"/>
    </row>
    <row r="2636" spans="1:8" x14ac:dyDescent="0.25">
      <c r="A2636" s="10">
        <v>3163</v>
      </c>
      <c r="B2636" s="1" t="s">
        <v>3244</v>
      </c>
      <c r="C2636" s="2" t="s">
        <v>3194</v>
      </c>
      <c r="D2636" s="1">
        <v>135</v>
      </c>
      <c r="E2636" s="2"/>
    </row>
    <row r="2637" spans="1:8" x14ac:dyDescent="0.25">
      <c r="A2637" s="10">
        <v>3164</v>
      </c>
      <c r="B2637" s="1" t="s">
        <v>3244</v>
      </c>
      <c r="C2637" s="2" t="s">
        <v>3195</v>
      </c>
      <c r="D2637" s="1">
        <v>135</v>
      </c>
      <c r="E2637" s="2"/>
    </row>
    <row r="2638" spans="1:8" x14ac:dyDescent="0.25">
      <c r="A2638" s="10">
        <v>3165</v>
      </c>
      <c r="B2638" s="1" t="s">
        <v>3244</v>
      </c>
      <c r="C2638" s="2" t="s">
        <v>3196</v>
      </c>
      <c r="D2638" s="1">
        <v>135</v>
      </c>
      <c r="E2638" s="2"/>
    </row>
    <row r="2639" spans="1:8" x14ac:dyDescent="0.25">
      <c r="A2639" s="10">
        <v>3166</v>
      </c>
      <c r="B2639" s="1" t="s">
        <v>3244</v>
      </c>
      <c r="C2639" s="2" t="s">
        <v>3197</v>
      </c>
      <c r="D2639" s="1">
        <v>135</v>
      </c>
      <c r="E2639" s="2"/>
    </row>
    <row r="2640" spans="1:8" x14ac:dyDescent="0.25">
      <c r="A2640" s="10">
        <v>3167</v>
      </c>
      <c r="B2640" s="1" t="s">
        <v>3244</v>
      </c>
      <c r="C2640" s="2" t="s">
        <v>3198</v>
      </c>
      <c r="D2640" s="1">
        <v>135</v>
      </c>
      <c r="E2640" s="2">
        <v>6</v>
      </c>
      <c r="F2640">
        <v>8</v>
      </c>
      <c r="G2640">
        <v>10</v>
      </c>
      <c r="H2640">
        <v>10</v>
      </c>
    </row>
    <row r="2641" spans="1:8" x14ac:dyDescent="0.25">
      <c r="A2641" s="10">
        <v>3168</v>
      </c>
      <c r="B2641" s="1" t="s">
        <v>3244</v>
      </c>
      <c r="C2641" s="2" t="s">
        <v>3199</v>
      </c>
      <c r="D2641" s="1">
        <v>135</v>
      </c>
      <c r="E2641" s="2"/>
    </row>
    <row r="2642" spans="1:8" x14ac:dyDescent="0.25">
      <c r="A2642" s="10">
        <v>3169</v>
      </c>
      <c r="B2642" s="1" t="s">
        <v>3244</v>
      </c>
      <c r="C2642" s="2" t="s">
        <v>3200</v>
      </c>
      <c r="D2642" s="1">
        <v>135</v>
      </c>
      <c r="E2642" s="2"/>
    </row>
    <row r="2643" spans="1:8" x14ac:dyDescent="0.25">
      <c r="A2643" s="10">
        <v>3170</v>
      </c>
      <c r="B2643" s="1" t="s">
        <v>3244</v>
      </c>
      <c r="C2643" s="2" t="s">
        <v>3201</v>
      </c>
      <c r="D2643" s="1">
        <v>135</v>
      </c>
      <c r="E2643" s="2"/>
    </row>
    <row r="2644" spans="1:8" x14ac:dyDescent="0.25">
      <c r="A2644" s="10">
        <v>3171</v>
      </c>
      <c r="B2644" s="1" t="s">
        <v>3244</v>
      </c>
      <c r="C2644" s="2" t="s">
        <v>3202</v>
      </c>
      <c r="D2644" s="1">
        <v>135</v>
      </c>
      <c r="E2644" s="2"/>
    </row>
    <row r="2645" spans="1:8" x14ac:dyDescent="0.25">
      <c r="A2645" s="10">
        <v>3172</v>
      </c>
      <c r="B2645" s="1" t="s">
        <v>3244</v>
      </c>
      <c r="C2645" s="2" t="s">
        <v>3203</v>
      </c>
      <c r="D2645" s="1">
        <v>135</v>
      </c>
      <c r="E2645" s="2"/>
    </row>
    <row r="2646" spans="1:8" x14ac:dyDescent="0.25">
      <c r="A2646" s="10">
        <v>3173</v>
      </c>
      <c r="B2646" s="1" t="s">
        <v>3244</v>
      </c>
      <c r="C2646" s="2" t="s">
        <v>3204</v>
      </c>
      <c r="D2646" s="1">
        <v>135</v>
      </c>
      <c r="E2646" s="2"/>
    </row>
    <row r="2647" spans="1:8" x14ac:dyDescent="0.25">
      <c r="A2647" s="10">
        <v>3174</v>
      </c>
      <c r="B2647" s="1" t="s">
        <v>3244</v>
      </c>
      <c r="C2647" s="2" t="s">
        <v>3205</v>
      </c>
      <c r="D2647" s="1">
        <v>135</v>
      </c>
      <c r="E2647" s="2">
        <v>11</v>
      </c>
      <c r="F2647">
        <v>13</v>
      </c>
      <c r="G2647">
        <v>20</v>
      </c>
      <c r="H2647">
        <v>20</v>
      </c>
    </row>
    <row r="2648" spans="1:8" x14ac:dyDescent="0.25">
      <c r="A2648" s="10">
        <v>3175</v>
      </c>
      <c r="B2648" s="1" t="s">
        <v>3244</v>
      </c>
      <c r="C2648" s="2" t="s">
        <v>3206</v>
      </c>
      <c r="D2648" s="1">
        <v>135</v>
      </c>
      <c r="E2648" s="2"/>
    </row>
    <row r="2649" spans="1:8" x14ac:dyDescent="0.25">
      <c r="A2649" s="10">
        <v>3176</v>
      </c>
      <c r="B2649" s="1" t="s">
        <v>3244</v>
      </c>
      <c r="C2649" s="2" t="s">
        <v>3207</v>
      </c>
      <c r="D2649" s="1">
        <v>135</v>
      </c>
      <c r="E2649" s="2"/>
    </row>
    <row r="2650" spans="1:8" x14ac:dyDescent="0.25">
      <c r="A2650" s="10">
        <v>3177</v>
      </c>
      <c r="B2650" s="1" t="s">
        <v>3244</v>
      </c>
      <c r="C2650" s="2" t="s">
        <v>3208</v>
      </c>
      <c r="D2650" s="1">
        <v>135</v>
      </c>
      <c r="E2650" s="2"/>
    </row>
    <row r="2651" spans="1:8" x14ac:dyDescent="0.25">
      <c r="A2651" s="10">
        <v>3178</v>
      </c>
      <c r="B2651" s="1" t="s">
        <v>3244</v>
      </c>
      <c r="C2651" s="2" t="s">
        <v>3209</v>
      </c>
      <c r="D2651" s="1">
        <v>135</v>
      </c>
      <c r="E2651" s="2">
        <v>12</v>
      </c>
      <c r="F2651">
        <v>15</v>
      </c>
      <c r="G2651">
        <v>20</v>
      </c>
      <c r="H2651">
        <v>20</v>
      </c>
    </row>
    <row r="2652" spans="1:8" x14ac:dyDescent="0.25">
      <c r="A2652" s="10">
        <v>3179</v>
      </c>
      <c r="B2652" s="1" t="s">
        <v>3244</v>
      </c>
      <c r="C2652" s="2" t="s">
        <v>3210</v>
      </c>
      <c r="D2652" s="1">
        <v>135</v>
      </c>
      <c r="E2652" s="2"/>
    </row>
    <row r="2653" spans="1:8" x14ac:dyDescent="0.25">
      <c r="A2653" s="10">
        <v>3180</v>
      </c>
      <c r="B2653" s="1" t="s">
        <v>3244</v>
      </c>
      <c r="C2653" s="2" t="s">
        <v>3211</v>
      </c>
      <c r="D2653" s="1">
        <v>135</v>
      </c>
      <c r="E2653" s="2"/>
    </row>
    <row r="2654" spans="1:8" x14ac:dyDescent="0.25">
      <c r="A2654" s="10">
        <v>3181</v>
      </c>
      <c r="B2654" s="1" t="s">
        <v>3244</v>
      </c>
      <c r="C2654" s="2" t="s">
        <v>3212</v>
      </c>
      <c r="D2654" s="1">
        <v>135</v>
      </c>
      <c r="E2654" s="2"/>
    </row>
    <row r="2655" spans="1:8" x14ac:dyDescent="0.25">
      <c r="A2655" s="10">
        <v>3182</v>
      </c>
      <c r="B2655" s="1" t="s">
        <v>3244</v>
      </c>
      <c r="C2655" s="2" t="s">
        <v>3213</v>
      </c>
      <c r="D2655" s="1">
        <v>135</v>
      </c>
      <c r="E2655" s="2"/>
    </row>
    <row r="2656" spans="1:8" x14ac:dyDescent="0.25">
      <c r="A2656" s="10">
        <v>3183</v>
      </c>
      <c r="B2656" s="1" t="s">
        <v>3244</v>
      </c>
      <c r="C2656" s="2" t="s">
        <v>3214</v>
      </c>
      <c r="D2656" s="1">
        <v>135</v>
      </c>
      <c r="E2656" s="2"/>
    </row>
    <row r="2657" spans="1:8" x14ac:dyDescent="0.25">
      <c r="A2657" s="10">
        <v>3184</v>
      </c>
      <c r="B2657" s="1" t="s">
        <v>3244</v>
      </c>
      <c r="C2657" s="2" t="s">
        <v>3215</v>
      </c>
      <c r="D2657" s="1">
        <v>135</v>
      </c>
      <c r="E2657" s="2"/>
    </row>
    <row r="2658" spans="1:8" x14ac:dyDescent="0.25">
      <c r="A2658" s="10">
        <v>3185</v>
      </c>
      <c r="B2658" s="1" t="s">
        <v>3244</v>
      </c>
      <c r="C2658" s="2" t="s">
        <v>3216</v>
      </c>
      <c r="D2658" s="1">
        <v>135</v>
      </c>
    </row>
    <row r="2659" spans="1:8" x14ac:dyDescent="0.25">
      <c r="A2659" s="10">
        <v>3186</v>
      </c>
      <c r="B2659" s="1" t="s">
        <v>3244</v>
      </c>
      <c r="C2659" s="2" t="s">
        <v>3217</v>
      </c>
      <c r="D2659" s="1">
        <v>135</v>
      </c>
      <c r="E2659">
        <v>23</v>
      </c>
      <c r="F2659">
        <v>25</v>
      </c>
      <c r="G2659">
        <v>35</v>
      </c>
      <c r="H2659">
        <v>35</v>
      </c>
    </row>
    <row r="2660" spans="1:8" x14ac:dyDescent="0.25">
      <c r="A2660" s="10">
        <v>3187</v>
      </c>
      <c r="B2660" s="1" t="s">
        <v>3244</v>
      </c>
      <c r="C2660" s="2" t="s">
        <v>3218</v>
      </c>
      <c r="D2660" s="1">
        <v>135</v>
      </c>
    </row>
    <row r="2661" spans="1:8" x14ac:dyDescent="0.25">
      <c r="A2661" s="10">
        <v>3188</v>
      </c>
      <c r="B2661" s="1" t="s">
        <v>3244</v>
      </c>
      <c r="C2661" s="2" t="s">
        <v>3219</v>
      </c>
      <c r="D2661" s="1">
        <v>135</v>
      </c>
    </row>
    <row r="2662" spans="1:8" x14ac:dyDescent="0.25">
      <c r="A2662" s="10">
        <v>3189</v>
      </c>
      <c r="B2662" s="1" t="s">
        <v>3244</v>
      </c>
      <c r="C2662" s="2" t="s">
        <v>3220</v>
      </c>
      <c r="D2662" s="1">
        <v>135</v>
      </c>
    </row>
    <row r="2663" spans="1:8" x14ac:dyDescent="0.25">
      <c r="A2663" s="10">
        <v>3190</v>
      </c>
      <c r="B2663" s="1" t="s">
        <v>3244</v>
      </c>
      <c r="C2663" s="2" t="s">
        <v>3221</v>
      </c>
      <c r="D2663" s="1">
        <v>135</v>
      </c>
    </row>
    <row r="2664" spans="1:8" x14ac:dyDescent="0.25">
      <c r="A2664" s="10">
        <v>3191</v>
      </c>
      <c r="B2664" s="1" t="s">
        <v>3244</v>
      </c>
      <c r="C2664" s="2" t="s">
        <v>3222</v>
      </c>
      <c r="D2664" s="1">
        <v>135</v>
      </c>
    </row>
    <row r="2665" spans="1:8" x14ac:dyDescent="0.25">
      <c r="A2665"/>
      <c r="B2665" s="1"/>
      <c r="C2665" s="8"/>
    </row>
    <row r="2666" spans="1:8" x14ac:dyDescent="0.25">
      <c r="A2666" s="10">
        <v>3192</v>
      </c>
      <c r="B2666" s="1" t="s">
        <v>3247</v>
      </c>
      <c r="C2666" s="14" t="s">
        <v>3223</v>
      </c>
      <c r="D2666" s="8" t="s">
        <v>3386</v>
      </c>
      <c r="E2666">
        <f>SUM(G2666-4)</f>
        <v>2</v>
      </c>
      <c r="F2666">
        <f>SUM(E2666+2)</f>
        <v>4</v>
      </c>
      <c r="G2666">
        <v>6</v>
      </c>
      <c r="H2666">
        <f>SUM(G2666+3)</f>
        <v>9</v>
      </c>
    </row>
    <row r="2667" spans="1:8" x14ac:dyDescent="0.25">
      <c r="A2667" s="10">
        <v>3193</v>
      </c>
      <c r="B2667" s="1" t="s">
        <v>3247</v>
      </c>
      <c r="C2667" s="14" t="s">
        <v>3224</v>
      </c>
      <c r="D2667" s="8">
        <v>136</v>
      </c>
      <c r="E2667">
        <f t="shared" ref="E2667:E2675" si="64">SUM(G2667-4)</f>
        <v>4</v>
      </c>
      <c r="F2667">
        <f t="shared" ref="F2667:F2680" si="65">SUM(E2667+2)</f>
        <v>6</v>
      </c>
      <c r="G2667">
        <v>8</v>
      </c>
      <c r="H2667">
        <f t="shared" ref="H2667:H2680" si="66">SUM(G2667+3)</f>
        <v>11</v>
      </c>
    </row>
    <row r="2668" spans="1:8" x14ac:dyDescent="0.25">
      <c r="A2668" s="10">
        <v>3194</v>
      </c>
      <c r="B2668" s="1" t="s">
        <v>3247</v>
      </c>
      <c r="C2668" s="14" t="s">
        <v>3225</v>
      </c>
      <c r="D2668" s="8">
        <v>136</v>
      </c>
      <c r="E2668">
        <f t="shared" si="64"/>
        <v>6</v>
      </c>
      <c r="F2668">
        <f t="shared" si="65"/>
        <v>8</v>
      </c>
      <c r="G2668">
        <v>10</v>
      </c>
      <c r="H2668">
        <f t="shared" si="66"/>
        <v>13</v>
      </c>
    </row>
    <row r="2669" spans="1:8" x14ac:dyDescent="0.25">
      <c r="A2669" s="10">
        <v>3195</v>
      </c>
      <c r="B2669" s="1" t="s">
        <v>3247</v>
      </c>
      <c r="C2669" s="14" t="s">
        <v>3226</v>
      </c>
      <c r="D2669" s="8">
        <v>136</v>
      </c>
      <c r="E2669">
        <f t="shared" si="64"/>
        <v>6</v>
      </c>
      <c r="F2669">
        <f t="shared" si="65"/>
        <v>8</v>
      </c>
      <c r="G2669">
        <v>10</v>
      </c>
      <c r="H2669">
        <f t="shared" si="66"/>
        <v>13</v>
      </c>
    </row>
    <row r="2670" spans="1:8" x14ac:dyDescent="0.25">
      <c r="A2670" s="10">
        <v>3196</v>
      </c>
      <c r="B2670" s="1" t="s">
        <v>3247</v>
      </c>
      <c r="C2670" s="14" t="s">
        <v>3227</v>
      </c>
      <c r="D2670" s="8">
        <v>136</v>
      </c>
      <c r="E2670">
        <f t="shared" si="64"/>
        <v>8.5</v>
      </c>
      <c r="F2670">
        <f t="shared" si="65"/>
        <v>10.5</v>
      </c>
      <c r="G2670">
        <v>12.5</v>
      </c>
      <c r="H2670">
        <f t="shared" si="66"/>
        <v>15.5</v>
      </c>
    </row>
    <row r="2671" spans="1:8" x14ac:dyDescent="0.25">
      <c r="A2671" s="10">
        <v>3197</v>
      </c>
      <c r="B2671" s="1" t="s">
        <v>3247</v>
      </c>
      <c r="C2671" s="14" t="s">
        <v>3228</v>
      </c>
      <c r="D2671" s="8">
        <v>136</v>
      </c>
      <c r="E2671">
        <f t="shared" si="64"/>
        <v>11</v>
      </c>
      <c r="F2671">
        <f t="shared" si="65"/>
        <v>13</v>
      </c>
      <c r="G2671">
        <v>15</v>
      </c>
      <c r="H2671">
        <f t="shared" si="66"/>
        <v>18</v>
      </c>
    </row>
    <row r="2672" spans="1:8" x14ac:dyDescent="0.25">
      <c r="A2672" s="10">
        <v>3198</v>
      </c>
      <c r="B2672" s="1" t="s">
        <v>3247</v>
      </c>
      <c r="C2672" s="14" t="s">
        <v>3229</v>
      </c>
      <c r="D2672" s="8">
        <v>136</v>
      </c>
      <c r="E2672">
        <f t="shared" si="64"/>
        <v>6</v>
      </c>
      <c r="F2672">
        <f t="shared" si="65"/>
        <v>8</v>
      </c>
      <c r="G2672">
        <v>10</v>
      </c>
      <c r="H2672">
        <f t="shared" si="66"/>
        <v>13</v>
      </c>
    </row>
    <row r="2673" spans="1:8" x14ac:dyDescent="0.25">
      <c r="A2673" s="10">
        <v>3199</v>
      </c>
      <c r="B2673" s="1" t="s">
        <v>3247</v>
      </c>
      <c r="C2673" s="14" t="s">
        <v>3230</v>
      </c>
      <c r="D2673" s="8">
        <v>136</v>
      </c>
      <c r="E2673">
        <f t="shared" si="64"/>
        <v>8.5</v>
      </c>
      <c r="F2673">
        <f t="shared" si="65"/>
        <v>10.5</v>
      </c>
      <c r="G2673">
        <v>12.5</v>
      </c>
      <c r="H2673">
        <f t="shared" si="66"/>
        <v>15.5</v>
      </c>
    </row>
    <row r="2674" spans="1:8" x14ac:dyDescent="0.25">
      <c r="A2674" s="10">
        <v>3200</v>
      </c>
      <c r="B2674" s="1" t="s">
        <v>3247</v>
      </c>
      <c r="C2674" s="14" t="s">
        <v>3231</v>
      </c>
      <c r="D2674" s="8">
        <v>136</v>
      </c>
      <c r="E2674">
        <f t="shared" si="64"/>
        <v>11</v>
      </c>
      <c r="F2674">
        <f t="shared" si="65"/>
        <v>13</v>
      </c>
      <c r="G2674">
        <v>15</v>
      </c>
      <c r="H2674">
        <f t="shared" si="66"/>
        <v>18</v>
      </c>
    </row>
    <row r="2675" spans="1:8" x14ac:dyDescent="0.25">
      <c r="A2675" s="10">
        <v>3201</v>
      </c>
      <c r="B2675" s="1" t="s">
        <v>3247</v>
      </c>
      <c r="C2675" s="14" t="s">
        <v>3232</v>
      </c>
      <c r="D2675" s="8">
        <v>136</v>
      </c>
      <c r="E2675">
        <f t="shared" si="64"/>
        <v>16</v>
      </c>
      <c r="F2675">
        <f t="shared" si="65"/>
        <v>18</v>
      </c>
      <c r="G2675">
        <v>20</v>
      </c>
      <c r="H2675">
        <f t="shared" si="66"/>
        <v>23</v>
      </c>
    </row>
    <row r="2676" spans="1:8" x14ac:dyDescent="0.25">
      <c r="A2676" s="10">
        <v>3202</v>
      </c>
      <c r="B2676" s="1" t="s">
        <v>3247</v>
      </c>
      <c r="C2676" s="14" t="s">
        <v>3233</v>
      </c>
      <c r="D2676" s="8">
        <v>136</v>
      </c>
      <c r="E2676">
        <v>17</v>
      </c>
      <c r="F2676">
        <f t="shared" si="65"/>
        <v>19</v>
      </c>
      <c r="G2676">
        <v>25</v>
      </c>
      <c r="H2676">
        <f t="shared" si="66"/>
        <v>28</v>
      </c>
    </row>
    <row r="2677" spans="1:8" x14ac:dyDescent="0.25">
      <c r="A2677" s="10">
        <v>3203</v>
      </c>
      <c r="B2677" s="1" t="s">
        <v>3247</v>
      </c>
      <c r="C2677" s="14" t="s">
        <v>3234</v>
      </c>
      <c r="D2677" s="8">
        <v>136</v>
      </c>
      <c r="E2677">
        <v>20</v>
      </c>
      <c r="F2677">
        <f t="shared" si="65"/>
        <v>22</v>
      </c>
      <c r="G2677">
        <v>30</v>
      </c>
      <c r="H2677">
        <f t="shared" si="66"/>
        <v>33</v>
      </c>
    </row>
    <row r="2678" spans="1:8" x14ac:dyDescent="0.25">
      <c r="A2678" s="10">
        <v>3204</v>
      </c>
      <c r="B2678" s="1" t="s">
        <v>3247</v>
      </c>
      <c r="C2678" s="14" t="s">
        <v>3235</v>
      </c>
      <c r="D2678" s="8">
        <v>136</v>
      </c>
      <c r="E2678">
        <v>23</v>
      </c>
      <c r="F2678">
        <f t="shared" si="65"/>
        <v>25</v>
      </c>
      <c r="G2678">
        <v>35</v>
      </c>
      <c r="H2678">
        <f t="shared" si="66"/>
        <v>38</v>
      </c>
    </row>
    <row r="2679" spans="1:8" x14ac:dyDescent="0.25">
      <c r="A2679" s="10">
        <v>3205</v>
      </c>
      <c r="B2679" s="1" t="s">
        <v>3247</v>
      </c>
      <c r="C2679" s="14" t="s">
        <v>3236</v>
      </c>
      <c r="D2679" s="8">
        <v>136</v>
      </c>
      <c r="E2679">
        <v>26</v>
      </c>
      <c r="F2679">
        <f t="shared" si="65"/>
        <v>28</v>
      </c>
      <c r="G2679">
        <v>40</v>
      </c>
      <c r="H2679">
        <f t="shared" si="66"/>
        <v>43</v>
      </c>
    </row>
    <row r="2680" spans="1:8" x14ac:dyDescent="0.25">
      <c r="A2680" s="10">
        <v>3206</v>
      </c>
      <c r="B2680" s="1" t="s">
        <v>3247</v>
      </c>
      <c r="C2680" s="14" t="s">
        <v>3237</v>
      </c>
      <c r="D2680" s="8">
        <v>136</v>
      </c>
      <c r="E2680">
        <v>29</v>
      </c>
      <c r="F2680">
        <f t="shared" si="65"/>
        <v>31</v>
      </c>
      <c r="G2680">
        <v>45</v>
      </c>
      <c r="H2680">
        <f t="shared" si="66"/>
        <v>48</v>
      </c>
    </row>
    <row r="2681" spans="1:8" x14ac:dyDescent="0.25">
      <c r="A2681" s="13"/>
    </row>
    <row r="2682" spans="1:8" x14ac:dyDescent="0.25">
      <c r="A2682" s="10">
        <v>3207</v>
      </c>
      <c r="B2682" s="2" t="s">
        <v>3429</v>
      </c>
      <c r="C2682" s="2" t="s">
        <v>3422</v>
      </c>
      <c r="D2682" s="1" t="s">
        <v>3487</v>
      </c>
      <c r="E2682">
        <v>660</v>
      </c>
      <c r="F2682">
        <v>800</v>
      </c>
      <c r="G2682">
        <v>980</v>
      </c>
      <c r="H2682">
        <v>995</v>
      </c>
    </row>
    <row r="2683" spans="1:8" x14ac:dyDescent="0.25">
      <c r="A2683" s="10">
        <v>3208</v>
      </c>
      <c r="B2683" s="2" t="s">
        <v>3429</v>
      </c>
      <c r="C2683" s="2" t="s">
        <v>3397</v>
      </c>
      <c r="D2683" s="1">
        <v>137</v>
      </c>
    </row>
    <row r="2684" spans="1:8" x14ac:dyDescent="0.25">
      <c r="A2684" s="10">
        <v>3209</v>
      </c>
      <c r="B2684" s="2" t="s">
        <v>3429</v>
      </c>
      <c r="C2684" s="2" t="s">
        <v>3398</v>
      </c>
      <c r="D2684" s="1">
        <v>137</v>
      </c>
      <c r="E2684">
        <v>1250</v>
      </c>
      <c r="F2684">
        <v>1300</v>
      </c>
      <c r="G2684">
        <v>1550</v>
      </c>
      <c r="H2684">
        <v>1575</v>
      </c>
    </row>
    <row r="2685" spans="1:8" x14ac:dyDescent="0.25">
      <c r="A2685" s="10">
        <v>3210</v>
      </c>
      <c r="B2685" s="2" t="s">
        <v>3429</v>
      </c>
      <c r="C2685" s="2" t="s">
        <v>3399</v>
      </c>
      <c r="D2685" s="1">
        <v>137</v>
      </c>
      <c r="E2685">
        <v>1180</v>
      </c>
      <c r="F2685">
        <v>1250</v>
      </c>
      <c r="G2685">
        <v>1650</v>
      </c>
      <c r="H2685">
        <v>1675</v>
      </c>
    </row>
    <row r="2686" spans="1:8" x14ac:dyDescent="0.25">
      <c r="A2686" s="10">
        <v>3211</v>
      </c>
      <c r="B2686" s="2" t="s">
        <v>3429</v>
      </c>
      <c r="C2686" s="2" t="s">
        <v>3400</v>
      </c>
      <c r="D2686" s="1">
        <v>137</v>
      </c>
      <c r="E2686">
        <v>1530</v>
      </c>
      <c r="F2686">
        <v>1650</v>
      </c>
      <c r="G2686">
        <v>1850</v>
      </c>
      <c r="H2686">
        <v>1875</v>
      </c>
    </row>
    <row r="2687" spans="1:8" x14ac:dyDescent="0.25">
      <c r="A2687"/>
      <c r="B2687" s="1"/>
      <c r="C2687" s="2"/>
    </row>
    <row r="2688" spans="1:8" x14ac:dyDescent="0.25">
      <c r="A2688" s="10">
        <v>3212</v>
      </c>
      <c r="B2688" s="2" t="s">
        <v>3429</v>
      </c>
      <c r="C2688" s="2" t="s">
        <v>3401</v>
      </c>
      <c r="D2688" s="1">
        <v>137</v>
      </c>
    </row>
    <row r="2689" spans="1:8" x14ac:dyDescent="0.25">
      <c r="A2689" s="10">
        <v>3213</v>
      </c>
      <c r="B2689" s="2" t="s">
        <v>3429</v>
      </c>
      <c r="C2689" s="2" t="s">
        <v>3402</v>
      </c>
      <c r="D2689" s="1">
        <v>137</v>
      </c>
      <c r="E2689">
        <v>1488</v>
      </c>
      <c r="F2689">
        <v>1600</v>
      </c>
      <c r="G2689">
        <v>1850</v>
      </c>
      <c r="H2689">
        <v>1875</v>
      </c>
    </row>
    <row r="2690" spans="1:8" x14ac:dyDescent="0.25">
      <c r="A2690" s="10">
        <v>3214</v>
      </c>
      <c r="B2690" s="2" t="s">
        <v>3429</v>
      </c>
      <c r="C2690" s="2" t="s">
        <v>3403</v>
      </c>
      <c r="D2690" s="1">
        <v>137</v>
      </c>
      <c r="E2690">
        <v>1650</v>
      </c>
      <c r="F2690">
        <v>1700</v>
      </c>
      <c r="G2690">
        <v>1950</v>
      </c>
      <c r="H2690">
        <v>1975</v>
      </c>
    </row>
    <row r="2691" spans="1:8" x14ac:dyDescent="0.25">
      <c r="A2691" s="10">
        <v>3215</v>
      </c>
      <c r="B2691" s="2" t="s">
        <v>3429</v>
      </c>
      <c r="C2691" s="2" t="s">
        <v>3404</v>
      </c>
      <c r="D2691" s="1">
        <v>137</v>
      </c>
      <c r="E2691">
        <v>1930</v>
      </c>
      <c r="F2691">
        <v>2000</v>
      </c>
      <c r="G2691">
        <v>2250</v>
      </c>
      <c r="H2691">
        <v>2250</v>
      </c>
    </row>
    <row r="2692" spans="1:8" x14ac:dyDescent="0.25">
      <c r="A2692"/>
      <c r="B2692" s="1"/>
      <c r="C2692" s="2"/>
    </row>
    <row r="2693" spans="1:8" x14ac:dyDescent="0.25">
      <c r="A2693" s="10">
        <v>3216</v>
      </c>
      <c r="B2693" s="2" t="s">
        <v>3429</v>
      </c>
      <c r="C2693" s="2" t="s">
        <v>3405</v>
      </c>
      <c r="D2693" s="1">
        <v>137</v>
      </c>
      <c r="E2693">
        <v>1700</v>
      </c>
      <c r="F2693">
        <v>2200</v>
      </c>
      <c r="G2693">
        <v>2450</v>
      </c>
      <c r="H2693">
        <v>2475</v>
      </c>
    </row>
    <row r="2694" spans="1:8" x14ac:dyDescent="0.25">
      <c r="A2694" s="10">
        <v>3217</v>
      </c>
      <c r="B2694" s="2" t="s">
        <v>3429</v>
      </c>
      <c r="C2694" s="2" t="s">
        <v>3406</v>
      </c>
      <c r="D2694" s="1">
        <v>137</v>
      </c>
      <c r="E2694">
        <v>1971</v>
      </c>
      <c r="F2694">
        <v>2200</v>
      </c>
      <c r="G2694">
        <v>2750</v>
      </c>
      <c r="H2694">
        <v>2775</v>
      </c>
    </row>
    <row r="2695" spans="1:8" x14ac:dyDescent="0.25">
      <c r="A2695" s="10">
        <v>3218</v>
      </c>
      <c r="B2695" s="2" t="s">
        <v>3429</v>
      </c>
      <c r="C2695" s="2" t="s">
        <v>3407</v>
      </c>
      <c r="D2695" s="1">
        <v>137</v>
      </c>
      <c r="E2695">
        <v>2050</v>
      </c>
      <c r="F2695">
        <v>2300</v>
      </c>
      <c r="G2695">
        <v>2750</v>
      </c>
      <c r="H2695">
        <v>2775</v>
      </c>
    </row>
    <row r="2696" spans="1:8" x14ac:dyDescent="0.25">
      <c r="A2696" s="10">
        <v>3219</v>
      </c>
      <c r="B2696" s="2" t="s">
        <v>3429</v>
      </c>
      <c r="C2696" s="2" t="s">
        <v>3408</v>
      </c>
      <c r="D2696" s="1">
        <v>137</v>
      </c>
      <c r="E2696">
        <v>2450</v>
      </c>
      <c r="F2696">
        <v>2550</v>
      </c>
      <c r="G2696">
        <v>2950</v>
      </c>
      <c r="H2696">
        <v>2975</v>
      </c>
    </row>
    <row r="2697" spans="1:8" x14ac:dyDescent="0.25">
      <c r="A2697"/>
      <c r="B2697" s="1"/>
      <c r="C2697" s="2"/>
    </row>
    <row r="2698" spans="1:8" x14ac:dyDescent="0.25">
      <c r="A2698" s="10">
        <v>3220</v>
      </c>
      <c r="B2698" s="2" t="s">
        <v>3429</v>
      </c>
      <c r="C2698" s="2" t="s">
        <v>3423</v>
      </c>
      <c r="D2698" s="1">
        <v>137</v>
      </c>
      <c r="E2698">
        <v>100</v>
      </c>
      <c r="F2698">
        <v>200</v>
      </c>
      <c r="G2698">
        <v>200</v>
      </c>
      <c r="H2698">
        <v>200</v>
      </c>
    </row>
    <row r="2699" spans="1:8" x14ac:dyDescent="0.25">
      <c r="A2699" s="10">
        <v>3221</v>
      </c>
      <c r="B2699" s="2" t="s">
        <v>3429</v>
      </c>
      <c r="C2699" s="2" t="s">
        <v>3409</v>
      </c>
      <c r="D2699" s="1">
        <v>137</v>
      </c>
    </row>
    <row r="2700" spans="1:8" x14ac:dyDescent="0.25">
      <c r="A2700" s="10">
        <v>3222</v>
      </c>
      <c r="B2700" s="2" t="s">
        <v>3429</v>
      </c>
      <c r="C2700" s="2" t="s">
        <v>3410</v>
      </c>
      <c r="D2700" s="1">
        <v>137</v>
      </c>
    </row>
    <row r="2701" spans="1:8" x14ac:dyDescent="0.25">
      <c r="A2701" s="10">
        <v>3223</v>
      </c>
      <c r="B2701" s="2" t="s">
        <v>3429</v>
      </c>
      <c r="C2701" s="2" t="s">
        <v>3411</v>
      </c>
      <c r="D2701" s="1">
        <v>137</v>
      </c>
    </row>
    <row r="2702" spans="1:8" x14ac:dyDescent="0.25">
      <c r="A2702" s="10">
        <v>3224</v>
      </c>
      <c r="B2702" s="2" t="s">
        <v>3429</v>
      </c>
      <c r="C2702" s="2" t="s">
        <v>3412</v>
      </c>
      <c r="D2702" s="1">
        <v>137</v>
      </c>
      <c r="E2702">
        <v>3090</v>
      </c>
      <c r="F2702">
        <v>3300</v>
      </c>
      <c r="G2702">
        <v>3750</v>
      </c>
      <c r="H2702">
        <v>3775</v>
      </c>
    </row>
    <row r="2703" spans="1:8" x14ac:dyDescent="0.25">
      <c r="A2703"/>
      <c r="B2703" s="1"/>
      <c r="C2703" s="2"/>
    </row>
    <row r="2704" spans="1:8" x14ac:dyDescent="0.25">
      <c r="A2704" s="10">
        <v>3225</v>
      </c>
      <c r="B2704" s="2" t="s">
        <v>3429</v>
      </c>
      <c r="C2704" s="2" t="s">
        <v>3413</v>
      </c>
      <c r="D2704" s="1">
        <v>137</v>
      </c>
    </row>
    <row r="2705" spans="1:8" x14ac:dyDescent="0.25">
      <c r="A2705" s="10">
        <v>3226</v>
      </c>
      <c r="B2705" s="2" t="s">
        <v>3429</v>
      </c>
      <c r="C2705" s="2" t="s">
        <v>3414</v>
      </c>
      <c r="D2705" s="1">
        <v>137</v>
      </c>
      <c r="E2705">
        <v>3170</v>
      </c>
      <c r="F2705">
        <v>3300</v>
      </c>
      <c r="G2705">
        <v>3650</v>
      </c>
      <c r="H2705">
        <v>3675</v>
      </c>
    </row>
    <row r="2706" spans="1:8" x14ac:dyDescent="0.25">
      <c r="A2706" s="10">
        <v>3227</v>
      </c>
      <c r="B2706" s="2" t="s">
        <v>3429</v>
      </c>
      <c r="C2706" s="2" t="s">
        <v>3415</v>
      </c>
      <c r="D2706" s="1">
        <v>137</v>
      </c>
      <c r="E2706">
        <v>3030</v>
      </c>
      <c r="F2706">
        <v>3500</v>
      </c>
      <c r="G2706">
        <v>3950</v>
      </c>
      <c r="H2706">
        <v>3975</v>
      </c>
    </row>
    <row r="2707" spans="1:8" x14ac:dyDescent="0.25">
      <c r="A2707" s="10">
        <v>3228</v>
      </c>
      <c r="B2707" s="2" t="s">
        <v>3429</v>
      </c>
      <c r="C2707" s="2" t="s">
        <v>3416</v>
      </c>
      <c r="D2707" s="1">
        <v>137</v>
      </c>
      <c r="E2707">
        <v>3640</v>
      </c>
      <c r="F2707">
        <v>3900</v>
      </c>
      <c r="G2707">
        <v>4250</v>
      </c>
      <c r="H2707">
        <v>4275</v>
      </c>
    </row>
    <row r="2708" spans="1:8" x14ac:dyDescent="0.25">
      <c r="A2708" s="10">
        <v>3229</v>
      </c>
      <c r="B2708" s="2" t="s">
        <v>3429</v>
      </c>
      <c r="C2708" s="2" t="s">
        <v>3424</v>
      </c>
      <c r="D2708" s="1">
        <v>137</v>
      </c>
      <c r="E2708">
        <v>4420</v>
      </c>
      <c r="F2708">
        <v>4600</v>
      </c>
      <c r="G2708">
        <v>4850</v>
      </c>
      <c r="H2708">
        <v>4875</v>
      </c>
    </row>
    <row r="2709" spans="1:8" x14ac:dyDescent="0.25">
      <c r="A2709"/>
      <c r="B2709" s="1"/>
      <c r="C2709" s="2"/>
    </row>
    <row r="2710" spans="1:8" x14ac:dyDescent="0.25">
      <c r="A2710" s="10">
        <v>3230</v>
      </c>
      <c r="B2710" s="2" t="s">
        <v>3429</v>
      </c>
      <c r="C2710" s="2" t="s">
        <v>3417</v>
      </c>
      <c r="D2710" s="1">
        <v>137</v>
      </c>
    </row>
    <row r="2711" spans="1:8" x14ac:dyDescent="0.25">
      <c r="A2711" s="10">
        <v>3231</v>
      </c>
      <c r="B2711" s="2" t="s">
        <v>3429</v>
      </c>
      <c r="C2711" s="2" t="s">
        <v>3418</v>
      </c>
      <c r="D2711" s="1">
        <v>137</v>
      </c>
    </row>
    <row r="2712" spans="1:8" x14ac:dyDescent="0.25">
      <c r="A2712" s="10">
        <v>3232</v>
      </c>
      <c r="B2712" s="2" t="s">
        <v>3429</v>
      </c>
      <c r="C2712" s="2" t="s">
        <v>3419</v>
      </c>
      <c r="D2712" s="1">
        <v>137</v>
      </c>
      <c r="E2712">
        <v>3948</v>
      </c>
      <c r="F2712">
        <v>4400</v>
      </c>
      <c r="G2712">
        <v>4950</v>
      </c>
      <c r="H2712">
        <v>4975</v>
      </c>
    </row>
    <row r="2713" spans="1:8" x14ac:dyDescent="0.25">
      <c r="A2713" s="10">
        <v>3233</v>
      </c>
      <c r="B2713" s="2" t="s">
        <v>3429</v>
      </c>
      <c r="C2713" s="2" t="s">
        <v>3420</v>
      </c>
      <c r="D2713" s="1">
        <v>137</v>
      </c>
    </row>
    <row r="2714" spans="1:8" x14ac:dyDescent="0.25">
      <c r="A2714" s="10">
        <v>3234</v>
      </c>
      <c r="B2714" s="2" t="s">
        <v>3429</v>
      </c>
      <c r="C2714" s="2" t="s">
        <v>3425</v>
      </c>
      <c r="D2714" s="1">
        <v>137</v>
      </c>
      <c r="E2714">
        <v>5540</v>
      </c>
      <c r="F2714">
        <v>5800</v>
      </c>
      <c r="G2714">
        <v>6950</v>
      </c>
      <c r="H2714">
        <v>6975</v>
      </c>
    </row>
    <row r="2716" spans="1:8" x14ac:dyDescent="0.25">
      <c r="A2716" s="10">
        <v>3235</v>
      </c>
      <c r="B2716" s="2" t="s">
        <v>792</v>
      </c>
      <c r="C2716" s="15" t="s">
        <v>3433</v>
      </c>
      <c r="D2716" s="1" t="s">
        <v>3488</v>
      </c>
      <c r="E2716">
        <v>462</v>
      </c>
      <c r="F2716">
        <v>500</v>
      </c>
      <c r="G2716">
        <v>580</v>
      </c>
      <c r="H2716">
        <v>595</v>
      </c>
    </row>
    <row r="2717" spans="1:8" x14ac:dyDescent="0.25">
      <c r="A2717" s="10">
        <v>3236</v>
      </c>
      <c r="B2717" s="2" t="s">
        <v>792</v>
      </c>
      <c r="C2717" s="15" t="s">
        <v>3434</v>
      </c>
      <c r="D2717" s="1">
        <v>138</v>
      </c>
      <c r="E2717">
        <v>365</v>
      </c>
      <c r="F2717">
        <v>430</v>
      </c>
      <c r="G2717">
        <v>480</v>
      </c>
      <c r="H2717">
        <v>495</v>
      </c>
    </row>
    <row r="2718" spans="1:8" x14ac:dyDescent="0.25">
      <c r="A2718" s="10">
        <v>3237</v>
      </c>
      <c r="B2718" s="2" t="s">
        <v>792</v>
      </c>
      <c r="C2718" s="15" t="s">
        <v>3435</v>
      </c>
      <c r="D2718" s="1">
        <v>138</v>
      </c>
      <c r="E2718">
        <v>685</v>
      </c>
      <c r="F2718">
        <v>755</v>
      </c>
      <c r="G2718">
        <v>880</v>
      </c>
      <c r="H2718">
        <v>895</v>
      </c>
    </row>
    <row r="2719" spans="1:8" x14ac:dyDescent="0.25">
      <c r="A2719" s="10">
        <v>3238</v>
      </c>
      <c r="B2719" s="2" t="s">
        <v>792</v>
      </c>
      <c r="C2719" s="15" t="s">
        <v>3436</v>
      </c>
      <c r="D2719" s="1">
        <v>138</v>
      </c>
      <c r="E2719">
        <v>485</v>
      </c>
      <c r="F2719">
        <v>550</v>
      </c>
      <c r="G2719">
        <v>600</v>
      </c>
      <c r="H2719">
        <v>625</v>
      </c>
    </row>
    <row r="2720" spans="1:8" x14ac:dyDescent="0.25">
      <c r="A2720" s="10">
        <v>3239</v>
      </c>
      <c r="B2720" s="2" t="s">
        <v>792</v>
      </c>
      <c r="C2720" s="15" t="s">
        <v>3437</v>
      </c>
      <c r="D2720" s="1">
        <v>138</v>
      </c>
      <c r="E2720">
        <v>929</v>
      </c>
      <c r="F2720">
        <v>990</v>
      </c>
      <c r="H2720">
        <v>1125</v>
      </c>
    </row>
    <row r="2721" spans="1:8" x14ac:dyDescent="0.25">
      <c r="A2721" s="10">
        <v>3240</v>
      </c>
      <c r="B2721" s="2" t="s">
        <v>792</v>
      </c>
      <c r="C2721" s="15" t="s">
        <v>3438</v>
      </c>
      <c r="D2721" s="1">
        <v>138</v>
      </c>
    </row>
    <row r="2722" spans="1:8" x14ac:dyDescent="0.25">
      <c r="A2722"/>
      <c r="B2722" s="2"/>
      <c r="C2722" s="2"/>
    </row>
    <row r="2723" spans="1:8" x14ac:dyDescent="0.25">
      <c r="A2723" s="10">
        <v>3241</v>
      </c>
      <c r="B2723" s="2" t="s">
        <v>3484</v>
      </c>
      <c r="C2723" s="2" t="s">
        <v>3439</v>
      </c>
      <c r="D2723" s="1" t="s">
        <v>3489</v>
      </c>
      <c r="E2723">
        <v>290</v>
      </c>
      <c r="F2723">
        <v>350</v>
      </c>
      <c r="G2723">
        <v>400</v>
      </c>
      <c r="H2723">
        <v>425</v>
      </c>
    </row>
    <row r="2724" spans="1:8" x14ac:dyDescent="0.25">
      <c r="A2724" s="10">
        <v>3242</v>
      </c>
      <c r="B2724" s="2" t="s">
        <v>3484</v>
      </c>
      <c r="C2724" s="2" t="s">
        <v>3440</v>
      </c>
      <c r="D2724" s="1">
        <v>139</v>
      </c>
      <c r="E2724">
        <v>390</v>
      </c>
      <c r="F2724">
        <v>450</v>
      </c>
      <c r="G2724">
        <v>500</v>
      </c>
      <c r="H2724">
        <v>525</v>
      </c>
    </row>
    <row r="2725" spans="1:8" x14ac:dyDescent="0.25">
      <c r="A2725" s="10">
        <v>3243</v>
      </c>
      <c r="B2725" s="2" t="s">
        <v>3484</v>
      </c>
      <c r="C2725" s="2" t="s">
        <v>3451</v>
      </c>
      <c r="D2725" s="1">
        <v>139</v>
      </c>
      <c r="G2725">
        <v>800</v>
      </c>
      <c r="H2725">
        <v>825</v>
      </c>
    </row>
    <row r="2726" spans="1:8" x14ac:dyDescent="0.25">
      <c r="A2726" s="10">
        <v>3244</v>
      </c>
      <c r="B2726" s="2" t="s">
        <v>3484</v>
      </c>
      <c r="C2726" s="2" t="s">
        <v>3452</v>
      </c>
      <c r="D2726" s="1">
        <v>139</v>
      </c>
      <c r="E2726">
        <v>3000</v>
      </c>
      <c r="F2726">
        <v>3300</v>
      </c>
      <c r="G2726">
        <v>3750</v>
      </c>
      <c r="H2726">
        <v>3775</v>
      </c>
    </row>
    <row r="2727" spans="1:8" x14ac:dyDescent="0.25">
      <c r="A2727" s="10">
        <v>3245</v>
      </c>
      <c r="B2727" s="2" t="s">
        <v>3484</v>
      </c>
      <c r="C2727" s="2" t="s">
        <v>3453</v>
      </c>
      <c r="D2727" s="1">
        <v>139</v>
      </c>
      <c r="E2727">
        <v>250</v>
      </c>
      <c r="F2727">
        <v>330</v>
      </c>
      <c r="G2727">
        <v>350</v>
      </c>
      <c r="H2727">
        <v>365</v>
      </c>
    </row>
    <row r="2728" spans="1:8" x14ac:dyDescent="0.25">
      <c r="A2728" s="10">
        <v>3246</v>
      </c>
      <c r="B2728" s="2" t="s">
        <v>3479</v>
      </c>
      <c r="C2728" s="2" t="s">
        <v>3441</v>
      </c>
      <c r="D2728" s="1">
        <v>139</v>
      </c>
      <c r="E2728">
        <v>3300</v>
      </c>
      <c r="F2728">
        <v>3700</v>
      </c>
      <c r="G2728">
        <v>4150</v>
      </c>
      <c r="H2728">
        <v>4175</v>
      </c>
    </row>
    <row r="2729" spans="1:8" x14ac:dyDescent="0.25">
      <c r="A2729" s="10">
        <v>3247</v>
      </c>
      <c r="B2729" s="2" t="s">
        <v>3479</v>
      </c>
      <c r="C2729" s="2" t="s">
        <v>3472</v>
      </c>
      <c r="D2729" s="1">
        <v>139</v>
      </c>
      <c r="E2729">
        <v>800</v>
      </c>
      <c r="F2729">
        <v>850</v>
      </c>
      <c r="G2729">
        <v>980</v>
      </c>
      <c r="H2729">
        <v>995</v>
      </c>
    </row>
    <row r="2730" spans="1:8" x14ac:dyDescent="0.25">
      <c r="A2730" s="10">
        <v>3248</v>
      </c>
      <c r="B2730" s="2" t="s">
        <v>3479</v>
      </c>
      <c r="C2730" s="2" t="s">
        <v>3473</v>
      </c>
      <c r="D2730" s="1">
        <v>139</v>
      </c>
      <c r="E2730">
        <v>1084</v>
      </c>
      <c r="F2730">
        <v>1150</v>
      </c>
      <c r="G2730">
        <v>1350</v>
      </c>
      <c r="H2730">
        <v>1375</v>
      </c>
    </row>
    <row r="2731" spans="1:8" x14ac:dyDescent="0.25">
      <c r="A2731" s="10">
        <v>3249</v>
      </c>
      <c r="B2731" s="2" t="s">
        <v>3479</v>
      </c>
      <c r="C2731" s="2" t="s">
        <v>3474</v>
      </c>
      <c r="D2731" s="1">
        <v>139</v>
      </c>
      <c r="E2731">
        <v>1413</v>
      </c>
      <c r="F2731">
        <v>1500</v>
      </c>
      <c r="G2731">
        <v>1680</v>
      </c>
      <c r="H2731">
        <v>1695</v>
      </c>
    </row>
    <row r="2732" spans="1:8" x14ac:dyDescent="0.25">
      <c r="A2732" s="10">
        <v>3250</v>
      </c>
      <c r="B2732" s="2" t="s">
        <v>3480</v>
      </c>
      <c r="C2732" s="2" t="s">
        <v>3442</v>
      </c>
      <c r="D2732" s="1">
        <v>139</v>
      </c>
      <c r="E2732">
        <v>1747</v>
      </c>
      <c r="F2732">
        <v>1850</v>
      </c>
      <c r="G2732">
        <v>1950</v>
      </c>
      <c r="H2732">
        <v>1975</v>
      </c>
    </row>
    <row r="2733" spans="1:8" x14ac:dyDescent="0.25">
      <c r="A2733" s="10">
        <v>3251</v>
      </c>
      <c r="B2733" s="2" t="s">
        <v>3480</v>
      </c>
      <c r="C2733" s="2" t="s">
        <v>3476</v>
      </c>
      <c r="D2733" s="1">
        <v>139</v>
      </c>
      <c r="E2733">
        <v>953</v>
      </c>
      <c r="F2733">
        <v>1000</v>
      </c>
      <c r="G2733">
        <v>1180</v>
      </c>
      <c r="H2733">
        <v>1195</v>
      </c>
    </row>
    <row r="2734" spans="1:8" x14ac:dyDescent="0.25">
      <c r="A2734" s="10">
        <v>3252</v>
      </c>
      <c r="B2734" s="2" t="s">
        <v>3480</v>
      </c>
      <c r="C2734" s="2" t="s">
        <v>3475</v>
      </c>
      <c r="D2734" s="1">
        <v>139</v>
      </c>
      <c r="E2734">
        <v>794</v>
      </c>
      <c r="F2734">
        <v>850</v>
      </c>
      <c r="G2734">
        <v>980</v>
      </c>
      <c r="H2734">
        <v>995</v>
      </c>
    </row>
    <row r="2735" spans="1:8" x14ac:dyDescent="0.25">
      <c r="A2735" s="10">
        <v>3253</v>
      </c>
      <c r="B2735" s="2" t="s">
        <v>3481</v>
      </c>
      <c r="C2735" s="2" t="s">
        <v>3443</v>
      </c>
      <c r="D2735" s="1">
        <v>139</v>
      </c>
      <c r="E2735">
        <v>425</v>
      </c>
      <c r="F2735">
        <v>480</v>
      </c>
      <c r="G2735">
        <v>580</v>
      </c>
      <c r="H2735">
        <v>595</v>
      </c>
    </row>
    <row r="2736" spans="1:8" x14ac:dyDescent="0.25">
      <c r="A2736" s="10">
        <v>3254</v>
      </c>
      <c r="B2736" s="2" t="s">
        <v>3482</v>
      </c>
      <c r="C2736" s="2" t="s">
        <v>3444</v>
      </c>
      <c r="D2736" s="1">
        <v>139</v>
      </c>
      <c r="E2736">
        <v>482</v>
      </c>
      <c r="F2736">
        <v>550</v>
      </c>
      <c r="G2736">
        <v>680</v>
      </c>
      <c r="H2736">
        <v>695</v>
      </c>
    </row>
    <row r="2737" spans="1:8" x14ac:dyDescent="0.25">
      <c r="A2737" s="10">
        <v>3255</v>
      </c>
      <c r="B2737" s="2" t="s">
        <v>3482</v>
      </c>
      <c r="C2737" s="2" t="s">
        <v>3445</v>
      </c>
      <c r="D2737" s="1">
        <v>139</v>
      </c>
      <c r="E2737">
        <v>493</v>
      </c>
      <c r="F2737">
        <v>550</v>
      </c>
      <c r="G2737">
        <v>600</v>
      </c>
      <c r="H2737">
        <v>625</v>
      </c>
    </row>
    <row r="2738" spans="1:8" x14ac:dyDescent="0.25">
      <c r="A2738" s="10">
        <v>3256</v>
      </c>
      <c r="B2738" s="2" t="s">
        <v>3482</v>
      </c>
      <c r="C2738" s="2" t="s">
        <v>3446</v>
      </c>
      <c r="D2738" s="1">
        <v>139</v>
      </c>
    </row>
    <row r="2739" spans="1:8" x14ac:dyDescent="0.25">
      <c r="A2739" s="10">
        <v>3257</v>
      </c>
      <c r="B2739" s="2" t="s">
        <v>3482</v>
      </c>
      <c r="C2739" s="2" t="s">
        <v>3447</v>
      </c>
      <c r="D2739" s="1">
        <v>139</v>
      </c>
      <c r="E2739">
        <v>983</v>
      </c>
      <c r="F2739">
        <v>1050</v>
      </c>
      <c r="G2739">
        <v>1150</v>
      </c>
      <c r="H2739">
        <v>1175</v>
      </c>
    </row>
    <row r="2740" spans="1:8" x14ac:dyDescent="0.25">
      <c r="A2740" s="10">
        <v>3258</v>
      </c>
      <c r="B2740" s="2" t="s">
        <v>3482</v>
      </c>
      <c r="C2740" s="2" t="s">
        <v>3448</v>
      </c>
      <c r="D2740" s="1">
        <v>139</v>
      </c>
      <c r="H2740">
        <v>1075</v>
      </c>
    </row>
    <row r="2741" spans="1:8" x14ac:dyDescent="0.25">
      <c r="A2741" s="10">
        <v>3259</v>
      </c>
      <c r="B2741" s="2" t="s">
        <v>3483</v>
      </c>
      <c r="C2741" s="2" t="s">
        <v>3449</v>
      </c>
      <c r="D2741" s="1">
        <v>139</v>
      </c>
      <c r="E2741">
        <v>970</v>
      </c>
      <c r="F2741">
        <v>1050</v>
      </c>
      <c r="G2741">
        <v>1180</v>
      </c>
      <c r="H2741">
        <v>1195</v>
      </c>
    </row>
    <row r="2742" spans="1:8" x14ac:dyDescent="0.25">
      <c r="A2742" s="10">
        <v>3260</v>
      </c>
      <c r="B2742" s="2" t="s">
        <v>3483</v>
      </c>
      <c r="C2742" s="2" t="s">
        <v>3450</v>
      </c>
      <c r="D2742" s="1">
        <v>139</v>
      </c>
      <c r="E2742">
        <v>1283</v>
      </c>
      <c r="F2742">
        <v>1350</v>
      </c>
      <c r="G2742">
        <v>1450</v>
      </c>
      <c r="H2742">
        <v>1475</v>
      </c>
    </row>
    <row r="2743" spans="1:8" x14ac:dyDescent="0.25">
      <c r="A2743" s="10">
        <v>3261</v>
      </c>
      <c r="B2743" s="2" t="s">
        <v>3483</v>
      </c>
      <c r="C2743" s="2" t="s">
        <v>3477</v>
      </c>
      <c r="D2743" s="1">
        <v>139</v>
      </c>
    </row>
    <row r="2744" spans="1:8" x14ac:dyDescent="0.25">
      <c r="A2744" s="10">
        <v>3262</v>
      </c>
      <c r="B2744" s="2" t="s">
        <v>3483</v>
      </c>
      <c r="C2744" s="2" t="s">
        <v>3454</v>
      </c>
      <c r="D2744" s="1">
        <v>139</v>
      </c>
      <c r="E2744">
        <v>1400</v>
      </c>
      <c r="F2744">
        <v>1500</v>
      </c>
      <c r="G2744">
        <v>1650</v>
      </c>
      <c r="H2744">
        <v>1675</v>
      </c>
    </row>
    <row r="2745" spans="1:8" x14ac:dyDescent="0.25">
      <c r="A2745" s="10">
        <v>3263</v>
      </c>
      <c r="B2745" s="2" t="s">
        <v>3483</v>
      </c>
      <c r="C2745" s="2" t="s">
        <v>3455</v>
      </c>
      <c r="D2745" s="1">
        <v>139</v>
      </c>
      <c r="E2745">
        <v>1830</v>
      </c>
      <c r="F2745">
        <v>1900</v>
      </c>
      <c r="G2745">
        <v>2050</v>
      </c>
      <c r="H2745">
        <v>2095</v>
      </c>
    </row>
    <row r="2746" spans="1:8" x14ac:dyDescent="0.25">
      <c r="A2746" s="10">
        <v>3264</v>
      </c>
      <c r="B2746" s="2" t="s">
        <v>3483</v>
      </c>
      <c r="C2746" s="2" t="s">
        <v>3456</v>
      </c>
      <c r="D2746" s="1">
        <v>139</v>
      </c>
      <c r="E2746">
        <v>2400</v>
      </c>
      <c r="F2746">
        <v>2500</v>
      </c>
      <c r="G2746">
        <v>2650</v>
      </c>
      <c r="H2746">
        <v>2675</v>
      </c>
    </row>
    <row r="2747" spans="1:8" x14ac:dyDescent="0.25">
      <c r="A2747" s="10">
        <v>3265</v>
      </c>
      <c r="B2747" s="2" t="s">
        <v>3483</v>
      </c>
      <c r="C2747" s="2" t="s">
        <v>3458</v>
      </c>
      <c r="D2747" s="1">
        <v>139</v>
      </c>
      <c r="E2747">
        <v>3180</v>
      </c>
      <c r="F2747">
        <v>3250</v>
      </c>
      <c r="G2747">
        <v>3650</v>
      </c>
      <c r="H2747">
        <v>3675</v>
      </c>
    </row>
    <row r="2748" spans="1:8" x14ac:dyDescent="0.25">
      <c r="A2748" s="10">
        <v>3266</v>
      </c>
      <c r="B2748" s="2" t="s">
        <v>3483</v>
      </c>
      <c r="C2748" s="2" t="s">
        <v>3457</v>
      </c>
      <c r="D2748" s="1">
        <v>139</v>
      </c>
      <c r="E2748">
        <v>4600</v>
      </c>
      <c r="F2748">
        <v>4700</v>
      </c>
      <c r="G2748">
        <v>4950</v>
      </c>
      <c r="H2748">
        <v>4985</v>
      </c>
    </row>
    <row r="2749" spans="1:8" x14ac:dyDescent="0.25">
      <c r="A2749" s="10">
        <v>3267</v>
      </c>
      <c r="B2749" s="2" t="s">
        <v>3483</v>
      </c>
      <c r="C2749" s="2" t="s">
        <v>3459</v>
      </c>
      <c r="D2749" s="1">
        <v>139</v>
      </c>
      <c r="E2749">
        <v>2600</v>
      </c>
      <c r="F2749">
        <v>2700</v>
      </c>
      <c r="G2749">
        <v>2950</v>
      </c>
      <c r="H2749">
        <v>2975</v>
      </c>
    </row>
    <row r="2751" spans="1:8" x14ac:dyDescent="0.25">
      <c r="A2751" s="10">
        <v>3268</v>
      </c>
      <c r="B2751" s="1" t="s">
        <v>3485</v>
      </c>
      <c r="C2751" s="2" t="s">
        <v>3460</v>
      </c>
      <c r="D2751" s="1" t="s">
        <v>3490</v>
      </c>
    </row>
    <row r="2752" spans="1:8" x14ac:dyDescent="0.25">
      <c r="A2752" s="10">
        <v>3269</v>
      </c>
      <c r="B2752" s="1" t="s">
        <v>3485</v>
      </c>
      <c r="C2752" s="2" t="s">
        <v>3461</v>
      </c>
      <c r="D2752" s="1">
        <v>140</v>
      </c>
    </row>
    <row r="2753" spans="1:8" x14ac:dyDescent="0.25">
      <c r="A2753" s="10">
        <v>3270</v>
      </c>
      <c r="B2753" s="1" t="s">
        <v>3485</v>
      </c>
      <c r="C2753" s="2" t="s">
        <v>3462</v>
      </c>
      <c r="D2753" s="1">
        <v>140</v>
      </c>
    </row>
    <row r="2754" spans="1:8" x14ac:dyDescent="0.25">
      <c r="A2754" s="10">
        <v>3271</v>
      </c>
      <c r="B2754" s="1" t="s">
        <v>3485</v>
      </c>
      <c r="C2754" s="2" t="s">
        <v>3463</v>
      </c>
      <c r="D2754" s="1">
        <v>140</v>
      </c>
    </row>
    <row r="2755" spans="1:8" x14ac:dyDescent="0.25">
      <c r="A2755" s="10">
        <v>3272</v>
      </c>
      <c r="B2755" s="1" t="s">
        <v>3485</v>
      </c>
      <c r="C2755" s="2" t="s">
        <v>3464</v>
      </c>
      <c r="D2755" s="1">
        <v>140</v>
      </c>
      <c r="E2755">
        <v>165</v>
      </c>
      <c r="F2755">
        <v>180</v>
      </c>
      <c r="G2755">
        <v>200</v>
      </c>
      <c r="H2755">
        <v>215</v>
      </c>
    </row>
    <row r="2756" spans="1:8" x14ac:dyDescent="0.25">
      <c r="A2756" s="10">
        <v>3273</v>
      </c>
      <c r="B2756" s="1" t="s">
        <v>3485</v>
      </c>
      <c r="C2756" s="2" t="s">
        <v>3465</v>
      </c>
      <c r="D2756" s="1">
        <v>140</v>
      </c>
      <c r="E2756">
        <v>185</v>
      </c>
      <c r="F2756">
        <v>200</v>
      </c>
      <c r="G2756">
        <v>240</v>
      </c>
      <c r="H2756">
        <v>245</v>
      </c>
    </row>
    <row r="2757" spans="1:8" x14ac:dyDescent="0.25">
      <c r="A2757"/>
      <c r="B2757" s="1"/>
      <c r="C2757" s="2"/>
    </row>
    <row r="2758" spans="1:8" x14ac:dyDescent="0.25">
      <c r="A2758" s="10">
        <v>3274</v>
      </c>
      <c r="B2758" s="1" t="s">
        <v>3485</v>
      </c>
      <c r="C2758" s="2" t="s">
        <v>3466</v>
      </c>
      <c r="D2758" s="1">
        <v>140</v>
      </c>
    </row>
    <row r="2759" spans="1:8" x14ac:dyDescent="0.25">
      <c r="A2759" s="10">
        <v>3275</v>
      </c>
      <c r="B2759" s="1" t="s">
        <v>3485</v>
      </c>
      <c r="C2759" s="2" t="s">
        <v>3467</v>
      </c>
      <c r="D2759" s="1">
        <v>140</v>
      </c>
    </row>
    <row r="2760" spans="1:8" x14ac:dyDescent="0.25">
      <c r="A2760" s="10">
        <v>3276</v>
      </c>
      <c r="B2760" s="1" t="s">
        <v>3485</v>
      </c>
      <c r="C2760" s="2" t="s">
        <v>3468</v>
      </c>
      <c r="D2760" s="1">
        <v>140</v>
      </c>
      <c r="E2760">
        <v>163</v>
      </c>
      <c r="F2760">
        <v>200</v>
      </c>
      <c r="G2760">
        <v>250</v>
      </c>
      <c r="H2760">
        <v>275</v>
      </c>
    </row>
    <row r="2761" spans="1:8" x14ac:dyDescent="0.25">
      <c r="A2761" s="10">
        <v>3277</v>
      </c>
      <c r="B2761" s="1" t="s">
        <v>3485</v>
      </c>
      <c r="C2761" s="2" t="s">
        <v>3469</v>
      </c>
      <c r="D2761" s="1">
        <v>140</v>
      </c>
      <c r="E2761">
        <v>185</v>
      </c>
      <c r="F2761">
        <v>200</v>
      </c>
      <c r="G2761">
        <v>280</v>
      </c>
      <c r="H2761">
        <v>295</v>
      </c>
    </row>
    <row r="2763" spans="1:8" x14ac:dyDescent="0.25">
      <c r="A2763" s="10">
        <v>3278</v>
      </c>
      <c r="B2763" s="1" t="s">
        <v>3486</v>
      </c>
      <c r="C2763" s="2" t="s">
        <v>3478</v>
      </c>
      <c r="D2763" s="1" t="s">
        <v>3491</v>
      </c>
      <c r="E2763">
        <v>3800</v>
      </c>
      <c r="F2763">
        <v>4000</v>
      </c>
      <c r="G2763">
        <v>4300</v>
      </c>
      <c r="H2763">
        <v>4350</v>
      </c>
    </row>
    <row r="2764" spans="1:8" x14ac:dyDescent="0.25">
      <c r="A2764" s="10">
        <v>3279</v>
      </c>
      <c r="B2764" s="1" t="s">
        <v>3486</v>
      </c>
      <c r="C2764" s="2" t="s">
        <v>3470</v>
      </c>
      <c r="D2764" s="1">
        <v>141</v>
      </c>
      <c r="E2764">
        <v>3700</v>
      </c>
      <c r="F2764">
        <v>4300</v>
      </c>
      <c r="G2764">
        <v>4750</v>
      </c>
      <c r="H2764">
        <v>4850</v>
      </c>
    </row>
    <row r="2765" spans="1:8" x14ac:dyDescent="0.25">
      <c r="A2765" s="10">
        <v>3280</v>
      </c>
      <c r="B2765" s="1" t="s">
        <v>3486</v>
      </c>
      <c r="C2765" s="2" t="s">
        <v>3471</v>
      </c>
      <c r="D2765" s="1">
        <v>141</v>
      </c>
    </row>
    <row r="2766" spans="1:8" x14ac:dyDescent="0.25">
      <c r="A2766" s="13"/>
    </row>
    <row r="2767" spans="1:8" x14ac:dyDescent="0.25">
      <c r="A2767" s="10">
        <v>3281</v>
      </c>
      <c r="B2767" s="2" t="s">
        <v>3498</v>
      </c>
      <c r="C2767" s="15" t="s">
        <v>3492</v>
      </c>
      <c r="D2767" s="1" t="s">
        <v>3588</v>
      </c>
      <c r="E2767">
        <v>75</v>
      </c>
      <c r="F2767">
        <f>SUM(E2767+10)</f>
        <v>85</v>
      </c>
      <c r="G2767">
        <v>80</v>
      </c>
      <c r="H2767">
        <v>95</v>
      </c>
    </row>
    <row r="2768" spans="1:8" x14ac:dyDescent="0.25">
      <c r="A2768" s="10">
        <v>3282</v>
      </c>
      <c r="B2768" s="2" t="s">
        <v>3498</v>
      </c>
      <c r="C2768" s="15" t="s">
        <v>3493</v>
      </c>
      <c r="D2768" s="1">
        <v>3</v>
      </c>
      <c r="E2768">
        <v>75</v>
      </c>
      <c r="F2768">
        <f t="shared" ref="F2768:F2773" si="67">SUM(E2768+10)</f>
        <v>85</v>
      </c>
      <c r="G2768">
        <v>80</v>
      </c>
      <c r="H2768">
        <v>95</v>
      </c>
    </row>
    <row r="2769" spans="1:8" x14ac:dyDescent="0.25">
      <c r="A2769" s="10">
        <v>3283</v>
      </c>
      <c r="B2769" s="2" t="s">
        <v>3498</v>
      </c>
      <c r="C2769" s="15" t="s">
        <v>3494</v>
      </c>
      <c r="D2769" s="1">
        <v>3</v>
      </c>
      <c r="E2769">
        <v>50</v>
      </c>
      <c r="F2769">
        <f t="shared" si="67"/>
        <v>60</v>
      </c>
      <c r="G2769">
        <v>100</v>
      </c>
      <c r="H2769">
        <v>115</v>
      </c>
    </row>
    <row r="2770" spans="1:8" x14ac:dyDescent="0.25">
      <c r="A2770" s="10">
        <v>3284</v>
      </c>
      <c r="B2770" s="2" t="s">
        <v>3498</v>
      </c>
      <c r="C2770" s="15" t="s">
        <v>3495</v>
      </c>
      <c r="D2770" s="1">
        <v>3</v>
      </c>
      <c r="E2770">
        <v>40</v>
      </c>
      <c r="F2770">
        <f t="shared" si="67"/>
        <v>50</v>
      </c>
      <c r="G2770">
        <v>100</v>
      </c>
      <c r="H2770">
        <v>115</v>
      </c>
    </row>
    <row r="2771" spans="1:8" x14ac:dyDescent="0.25">
      <c r="A2771" s="10">
        <v>3285</v>
      </c>
      <c r="B2771" s="2" t="s">
        <v>3498</v>
      </c>
      <c r="C2771" s="15" t="s">
        <v>3496</v>
      </c>
      <c r="D2771" s="1">
        <v>3</v>
      </c>
      <c r="E2771">
        <v>50</v>
      </c>
      <c r="F2771">
        <f t="shared" si="67"/>
        <v>60</v>
      </c>
      <c r="G2771">
        <v>100</v>
      </c>
      <c r="H2771">
        <v>125</v>
      </c>
    </row>
    <row r="2772" spans="1:8" x14ac:dyDescent="0.25">
      <c r="A2772" s="10">
        <v>3286</v>
      </c>
      <c r="B2772" s="2" t="s">
        <v>3498</v>
      </c>
      <c r="C2772" s="15" t="s">
        <v>3497</v>
      </c>
      <c r="D2772" s="1">
        <v>3</v>
      </c>
      <c r="E2772">
        <v>50</v>
      </c>
      <c r="F2772">
        <f t="shared" si="67"/>
        <v>60</v>
      </c>
      <c r="G2772">
        <v>120</v>
      </c>
      <c r="H2772">
        <v>165</v>
      </c>
    </row>
    <row r="2773" spans="1:8" x14ac:dyDescent="0.25">
      <c r="A2773" s="10">
        <v>3287</v>
      </c>
      <c r="B2773" s="2" t="s">
        <v>3498</v>
      </c>
      <c r="C2773" s="15" t="s">
        <v>3499</v>
      </c>
      <c r="D2773" s="1">
        <v>3</v>
      </c>
      <c r="E2773">
        <v>85</v>
      </c>
      <c r="F2773">
        <f t="shared" si="67"/>
        <v>95</v>
      </c>
      <c r="G2773">
        <v>150</v>
      </c>
      <c r="H2773">
        <v>165</v>
      </c>
    </row>
    <row r="2774" spans="1:8" x14ac:dyDescent="0.25">
      <c r="A2774"/>
      <c r="B2774" s="1"/>
      <c r="C2774" s="2"/>
    </row>
    <row r="2775" spans="1:8" x14ac:dyDescent="0.25">
      <c r="A2775" s="10">
        <v>3288</v>
      </c>
      <c r="B2775" s="1" t="s">
        <v>3519</v>
      </c>
      <c r="C2775" s="2" t="s">
        <v>3500</v>
      </c>
      <c r="D2775" s="1">
        <v>3</v>
      </c>
      <c r="E2775">
        <v>295</v>
      </c>
      <c r="F2775">
        <v>320</v>
      </c>
      <c r="G2775">
        <v>380</v>
      </c>
      <c r="H2775">
        <v>390</v>
      </c>
    </row>
    <row r="2776" spans="1:8" x14ac:dyDescent="0.25">
      <c r="A2776" s="10">
        <v>3289</v>
      </c>
      <c r="B2776" s="1" t="s">
        <v>3519</v>
      </c>
      <c r="C2776" s="2" t="s">
        <v>3501</v>
      </c>
      <c r="D2776" s="1">
        <v>3</v>
      </c>
      <c r="E2776">
        <v>375</v>
      </c>
      <c r="F2776">
        <v>400</v>
      </c>
      <c r="G2776">
        <v>480</v>
      </c>
      <c r="H2776">
        <v>495</v>
      </c>
    </row>
    <row r="2777" spans="1:8" x14ac:dyDescent="0.25">
      <c r="A2777" s="10">
        <v>3290</v>
      </c>
      <c r="B2777" s="1" t="s">
        <v>3519</v>
      </c>
      <c r="C2777" s="2" t="s">
        <v>3502</v>
      </c>
      <c r="D2777" s="1">
        <v>3</v>
      </c>
      <c r="E2777">
        <v>450</v>
      </c>
      <c r="F2777">
        <v>500</v>
      </c>
      <c r="G2777">
        <v>550</v>
      </c>
      <c r="H2777">
        <v>565</v>
      </c>
    </row>
    <row r="2778" spans="1:8" x14ac:dyDescent="0.25">
      <c r="A2778" s="10">
        <v>3291</v>
      </c>
      <c r="B2778" s="1" t="s">
        <v>3519</v>
      </c>
      <c r="C2778" s="2" t="s">
        <v>3503</v>
      </c>
      <c r="D2778" s="1">
        <v>3</v>
      </c>
    </row>
    <row r="2779" spans="1:8" x14ac:dyDescent="0.25">
      <c r="A2779" s="10">
        <v>3292</v>
      </c>
      <c r="B2779" s="1" t="s">
        <v>3519</v>
      </c>
      <c r="C2779" s="2" t="s">
        <v>3504</v>
      </c>
      <c r="D2779" s="1">
        <v>3</v>
      </c>
    </row>
    <row r="2780" spans="1:8" x14ac:dyDescent="0.25">
      <c r="A2780"/>
      <c r="B2780" s="1"/>
      <c r="C2780" s="2"/>
    </row>
    <row r="2781" spans="1:8" x14ac:dyDescent="0.25">
      <c r="A2781" s="10">
        <v>3293</v>
      </c>
      <c r="B2781" s="1" t="s">
        <v>3520</v>
      </c>
      <c r="C2781" s="2" t="s">
        <v>3505</v>
      </c>
      <c r="D2781" s="1">
        <v>3</v>
      </c>
      <c r="E2781">
        <v>290</v>
      </c>
      <c r="F2781">
        <v>350</v>
      </c>
      <c r="G2781">
        <v>480</v>
      </c>
      <c r="H2781">
        <v>495</v>
      </c>
    </row>
    <row r="2782" spans="1:8" x14ac:dyDescent="0.25">
      <c r="A2782" s="10">
        <v>3294</v>
      </c>
      <c r="B2782" s="1" t="s">
        <v>3520</v>
      </c>
      <c r="C2782" s="2" t="s">
        <v>3506</v>
      </c>
      <c r="D2782" s="1">
        <v>3</v>
      </c>
      <c r="E2782">
        <v>390</v>
      </c>
      <c r="F2782">
        <v>450</v>
      </c>
      <c r="G2782">
        <v>580</v>
      </c>
      <c r="H2782">
        <v>595</v>
      </c>
    </row>
    <row r="2783" spans="1:8" x14ac:dyDescent="0.25">
      <c r="A2783" s="10">
        <v>3295</v>
      </c>
      <c r="B2783" s="1" t="s">
        <v>3520</v>
      </c>
      <c r="C2783" s="2" t="s">
        <v>3507</v>
      </c>
      <c r="D2783" s="1">
        <v>3</v>
      </c>
      <c r="E2783">
        <v>470</v>
      </c>
      <c r="F2783">
        <v>550</v>
      </c>
      <c r="G2783">
        <v>680</v>
      </c>
      <c r="H2783">
        <v>695</v>
      </c>
    </row>
    <row r="2784" spans="1:8" x14ac:dyDescent="0.25">
      <c r="A2784" s="10">
        <v>3296</v>
      </c>
      <c r="B2784" s="1" t="s">
        <v>3520</v>
      </c>
      <c r="C2784" s="2" t="s">
        <v>3508</v>
      </c>
      <c r="D2784" s="1">
        <v>3</v>
      </c>
      <c r="E2784">
        <v>750</v>
      </c>
      <c r="F2784">
        <v>850</v>
      </c>
      <c r="G2784">
        <v>950</v>
      </c>
      <c r="H2784">
        <v>975</v>
      </c>
    </row>
    <row r="2785" spans="1:8" x14ac:dyDescent="0.25">
      <c r="A2785" s="10">
        <v>3297</v>
      </c>
      <c r="B2785" s="1" t="s">
        <v>3520</v>
      </c>
      <c r="C2785" s="2" t="s">
        <v>3509</v>
      </c>
      <c r="D2785" s="1">
        <v>3</v>
      </c>
      <c r="E2785">
        <v>950</v>
      </c>
      <c r="F2785">
        <v>1000</v>
      </c>
      <c r="G2785">
        <v>1250</v>
      </c>
      <c r="H2785">
        <v>1275</v>
      </c>
    </row>
    <row r="2786" spans="1:8" x14ac:dyDescent="0.25">
      <c r="A2786" s="10">
        <v>3298</v>
      </c>
      <c r="B2786" s="1" t="s">
        <v>3520</v>
      </c>
      <c r="C2786" s="2" t="s">
        <v>3510</v>
      </c>
      <c r="D2786" s="1">
        <v>3</v>
      </c>
      <c r="E2786">
        <v>1450</v>
      </c>
      <c r="F2786">
        <v>1600</v>
      </c>
      <c r="G2786">
        <v>1850</v>
      </c>
      <c r="H2786">
        <v>1875</v>
      </c>
    </row>
    <row r="2787" spans="1:8" x14ac:dyDescent="0.25">
      <c r="A2787"/>
      <c r="B2787" s="1"/>
      <c r="C2787" s="2"/>
    </row>
    <row r="2788" spans="1:8" x14ac:dyDescent="0.25">
      <c r="A2788" s="10">
        <v>3299</v>
      </c>
      <c r="B2788" s="1" t="s">
        <v>3520</v>
      </c>
      <c r="C2788" s="2" t="s">
        <v>3511</v>
      </c>
      <c r="D2788" s="1">
        <v>3</v>
      </c>
      <c r="E2788">
        <v>50</v>
      </c>
      <c r="F2788">
        <v>60</v>
      </c>
      <c r="G2788">
        <v>80</v>
      </c>
      <c r="H2788">
        <v>85</v>
      </c>
    </row>
    <row r="2789" spans="1:8" x14ac:dyDescent="0.25">
      <c r="A2789" s="10">
        <v>3300</v>
      </c>
      <c r="B2789" s="1" t="s">
        <v>3520</v>
      </c>
      <c r="C2789" s="2" t="s">
        <v>3512</v>
      </c>
      <c r="D2789" s="1">
        <v>3</v>
      </c>
      <c r="E2789">
        <v>50</v>
      </c>
      <c r="F2789">
        <v>60</v>
      </c>
      <c r="G2789">
        <v>80</v>
      </c>
      <c r="H2789">
        <v>85</v>
      </c>
    </row>
    <row r="2790" spans="1:8" x14ac:dyDescent="0.25">
      <c r="A2790" s="10">
        <v>3301</v>
      </c>
      <c r="B2790" s="1" t="s">
        <v>3520</v>
      </c>
      <c r="C2790" s="2" t="s">
        <v>3513</v>
      </c>
      <c r="D2790" s="1">
        <v>3</v>
      </c>
      <c r="E2790">
        <v>145</v>
      </c>
      <c r="F2790">
        <v>180</v>
      </c>
      <c r="G2790">
        <v>250</v>
      </c>
      <c r="H2790">
        <v>265</v>
      </c>
    </row>
    <row r="2791" spans="1:8" x14ac:dyDescent="0.25">
      <c r="A2791" s="10">
        <v>3302</v>
      </c>
      <c r="B2791" s="1" t="s">
        <v>3520</v>
      </c>
      <c r="C2791" s="2" t="s">
        <v>3518</v>
      </c>
      <c r="D2791" s="1">
        <v>3</v>
      </c>
      <c r="E2791">
        <v>145</v>
      </c>
      <c r="F2791">
        <v>180</v>
      </c>
      <c r="G2791">
        <v>250</v>
      </c>
      <c r="H2791">
        <v>265</v>
      </c>
    </row>
    <row r="2792" spans="1:8" x14ac:dyDescent="0.25">
      <c r="A2792"/>
      <c r="B2792" s="2"/>
      <c r="C2792" s="2"/>
    </row>
    <row r="2793" spans="1:8" x14ac:dyDescent="0.25">
      <c r="A2793" s="10">
        <v>3303</v>
      </c>
      <c r="B2793" s="1" t="s">
        <v>3520</v>
      </c>
      <c r="C2793" s="2" t="s">
        <v>3514</v>
      </c>
      <c r="D2793" s="1">
        <v>3</v>
      </c>
      <c r="E2793">
        <v>155</v>
      </c>
      <c r="F2793">
        <v>180</v>
      </c>
      <c r="G2793">
        <v>230</v>
      </c>
      <c r="H2793">
        <v>235</v>
      </c>
    </row>
    <row r="2794" spans="1:8" x14ac:dyDescent="0.25">
      <c r="A2794" s="10">
        <v>3304</v>
      </c>
      <c r="B2794" s="1" t="s">
        <v>3520</v>
      </c>
      <c r="C2794" s="2" t="s">
        <v>3515</v>
      </c>
      <c r="D2794" s="1">
        <v>3</v>
      </c>
      <c r="E2794">
        <v>190</v>
      </c>
      <c r="F2794">
        <v>220</v>
      </c>
      <c r="G2794">
        <v>250</v>
      </c>
      <c r="H2794">
        <v>265</v>
      </c>
    </row>
    <row r="2795" spans="1:8" x14ac:dyDescent="0.25">
      <c r="A2795" s="10">
        <v>3305</v>
      </c>
      <c r="B2795" s="1" t="s">
        <v>3520</v>
      </c>
      <c r="C2795" s="2" t="s">
        <v>3516</v>
      </c>
      <c r="D2795" s="1">
        <v>3</v>
      </c>
      <c r="E2795">
        <v>195</v>
      </c>
      <c r="F2795">
        <v>220</v>
      </c>
      <c r="G2795">
        <v>280</v>
      </c>
      <c r="H2795">
        <v>295</v>
      </c>
    </row>
    <row r="2796" spans="1:8" x14ac:dyDescent="0.25">
      <c r="A2796" s="10">
        <v>3306</v>
      </c>
      <c r="B2796" s="1" t="s">
        <v>3520</v>
      </c>
      <c r="C2796" s="2" t="s">
        <v>3517</v>
      </c>
      <c r="D2796" s="1">
        <v>3</v>
      </c>
      <c r="E2796">
        <v>295</v>
      </c>
      <c r="F2796">
        <v>300</v>
      </c>
      <c r="G2796">
        <v>480</v>
      </c>
      <c r="H2796">
        <v>495</v>
      </c>
    </row>
    <row r="2798" spans="1:8" x14ac:dyDescent="0.25">
      <c r="A2798" s="10">
        <v>3307</v>
      </c>
      <c r="B2798" s="2" t="s">
        <v>3551</v>
      </c>
      <c r="C2798" s="15" t="s">
        <v>3521</v>
      </c>
      <c r="D2798" s="1" t="s">
        <v>3589</v>
      </c>
    </row>
    <row r="2799" spans="1:8" x14ac:dyDescent="0.25">
      <c r="A2799" s="10">
        <v>3308</v>
      </c>
      <c r="B2799" s="2" t="s">
        <v>3551</v>
      </c>
      <c r="C2799" s="15" t="s">
        <v>3522</v>
      </c>
      <c r="D2799" s="1">
        <v>142</v>
      </c>
    </row>
    <row r="2800" spans="1:8" x14ac:dyDescent="0.25">
      <c r="A2800" s="10">
        <v>3309</v>
      </c>
      <c r="B2800" s="2" t="s">
        <v>3551</v>
      </c>
      <c r="C2800" s="15" t="s">
        <v>3523</v>
      </c>
      <c r="D2800" s="1">
        <v>142</v>
      </c>
      <c r="E2800">
        <v>34545</v>
      </c>
      <c r="F2800">
        <f>SUM(E2800+300)</f>
        <v>34845</v>
      </c>
      <c r="G2800">
        <v>35000</v>
      </c>
      <c r="H2800">
        <v>37500</v>
      </c>
    </row>
    <row r="2801" spans="1:8" x14ac:dyDescent="0.25">
      <c r="A2801" s="10">
        <v>3310</v>
      </c>
      <c r="B2801" s="2" t="s">
        <v>3551</v>
      </c>
      <c r="C2801" s="15" t="s">
        <v>3524</v>
      </c>
      <c r="D2801" s="1">
        <v>142</v>
      </c>
      <c r="E2801">
        <v>33655</v>
      </c>
      <c r="F2801">
        <f t="shared" ref="F2801:F2808" si="68">SUM(E2801+300)</f>
        <v>33955</v>
      </c>
      <c r="G2801">
        <v>35000</v>
      </c>
      <c r="H2801">
        <v>36500</v>
      </c>
    </row>
    <row r="2802" spans="1:8" x14ac:dyDescent="0.25">
      <c r="A2802" s="10">
        <v>3311</v>
      </c>
      <c r="B2802" s="2" t="s">
        <v>3551</v>
      </c>
      <c r="C2802" s="15" t="s">
        <v>3525</v>
      </c>
      <c r="D2802" s="1">
        <v>142</v>
      </c>
      <c r="E2802">
        <v>33750</v>
      </c>
      <c r="F2802">
        <f t="shared" si="68"/>
        <v>34050</v>
      </c>
      <c r="G2802">
        <v>35000</v>
      </c>
      <c r="H2802">
        <v>39500</v>
      </c>
    </row>
    <row r="2803" spans="1:8" x14ac:dyDescent="0.25">
      <c r="A2803" s="10">
        <v>3312</v>
      </c>
      <c r="B2803" s="2" t="s">
        <v>3551</v>
      </c>
      <c r="C2803" s="15" t="s">
        <v>3544</v>
      </c>
      <c r="D2803" s="1">
        <v>142</v>
      </c>
      <c r="E2803">
        <v>29380</v>
      </c>
      <c r="F2803">
        <f t="shared" si="68"/>
        <v>29680</v>
      </c>
      <c r="G2803">
        <v>30000</v>
      </c>
      <c r="H2803">
        <v>32500</v>
      </c>
    </row>
    <row r="2804" spans="1:8" x14ac:dyDescent="0.25">
      <c r="A2804" s="10">
        <v>3313</v>
      </c>
      <c r="B2804" s="2" t="s">
        <v>3551</v>
      </c>
      <c r="C2804" s="15" t="s">
        <v>3545</v>
      </c>
      <c r="D2804" s="1">
        <v>142</v>
      </c>
      <c r="E2804">
        <v>27640</v>
      </c>
      <c r="F2804">
        <f t="shared" si="68"/>
        <v>27940</v>
      </c>
      <c r="G2804">
        <v>29000</v>
      </c>
      <c r="H2804">
        <v>29950</v>
      </c>
    </row>
    <row r="2805" spans="1:8" x14ac:dyDescent="0.25">
      <c r="A2805" s="10">
        <v>3314</v>
      </c>
      <c r="B2805" s="2" t="s">
        <v>3551</v>
      </c>
      <c r="C2805" s="2" t="s">
        <v>3526</v>
      </c>
      <c r="D2805" s="1">
        <v>142</v>
      </c>
      <c r="E2805">
        <v>25700</v>
      </c>
      <c r="F2805">
        <f t="shared" si="68"/>
        <v>26000</v>
      </c>
      <c r="G2805">
        <v>29500</v>
      </c>
      <c r="H2805">
        <v>29500</v>
      </c>
    </row>
    <row r="2806" spans="1:8" x14ac:dyDescent="0.25">
      <c r="A2806" s="10">
        <v>3315</v>
      </c>
      <c r="B2806" s="2" t="s">
        <v>3551</v>
      </c>
      <c r="C2806" s="2" t="s">
        <v>3527</v>
      </c>
      <c r="D2806" s="1">
        <v>142</v>
      </c>
      <c r="E2806">
        <v>23320</v>
      </c>
      <c r="F2806">
        <f t="shared" si="68"/>
        <v>23620</v>
      </c>
      <c r="G2806">
        <v>25500</v>
      </c>
      <c r="H2806">
        <v>25500</v>
      </c>
    </row>
    <row r="2807" spans="1:8" x14ac:dyDescent="0.25">
      <c r="A2807" s="10">
        <v>3316</v>
      </c>
      <c r="B2807" s="2" t="s">
        <v>3551</v>
      </c>
      <c r="C2807" s="2" t="s">
        <v>3528</v>
      </c>
      <c r="D2807" s="1">
        <v>142</v>
      </c>
      <c r="E2807">
        <v>20200</v>
      </c>
      <c r="F2807">
        <f t="shared" si="68"/>
        <v>20500</v>
      </c>
      <c r="G2807">
        <v>21500</v>
      </c>
      <c r="H2807">
        <v>21500</v>
      </c>
    </row>
    <row r="2808" spans="1:8" x14ac:dyDescent="0.25">
      <c r="A2808" s="10">
        <v>3317</v>
      </c>
      <c r="B2808" s="2" t="s">
        <v>3551</v>
      </c>
      <c r="C2808" s="2" t="s">
        <v>3529</v>
      </c>
      <c r="D2808" s="1">
        <v>142</v>
      </c>
      <c r="E2808">
        <v>15000</v>
      </c>
      <c r="F2808">
        <f t="shared" si="68"/>
        <v>15300</v>
      </c>
      <c r="G2808">
        <v>16000</v>
      </c>
      <c r="H2808">
        <v>17950</v>
      </c>
    </row>
    <row r="2809" spans="1:8" x14ac:dyDescent="0.25">
      <c r="A2809"/>
      <c r="B2809" s="1"/>
      <c r="C2809" s="2"/>
    </row>
    <row r="2810" spans="1:8" x14ac:dyDescent="0.25">
      <c r="A2810"/>
      <c r="B2810" s="1"/>
      <c r="C2810" s="2"/>
    </row>
    <row r="2811" spans="1:8" x14ac:dyDescent="0.25">
      <c r="A2811" s="10">
        <v>3318</v>
      </c>
      <c r="B2811" s="2" t="s">
        <v>3551</v>
      </c>
      <c r="C2811" s="2" t="s">
        <v>3530</v>
      </c>
      <c r="D2811" s="1">
        <v>142</v>
      </c>
      <c r="E2811">
        <v>42930</v>
      </c>
      <c r="F2811">
        <f>SUM(E2811+1000)</f>
        <v>43930</v>
      </c>
      <c r="G2811">
        <v>44000</v>
      </c>
      <c r="H2811">
        <v>63600</v>
      </c>
    </row>
    <row r="2812" spans="1:8" x14ac:dyDescent="0.25">
      <c r="A2812" s="10">
        <v>3319</v>
      </c>
      <c r="B2812" s="2" t="s">
        <v>3551</v>
      </c>
      <c r="C2812" s="2" t="s">
        <v>3531</v>
      </c>
      <c r="D2812" s="1">
        <v>142</v>
      </c>
      <c r="E2812">
        <v>45968</v>
      </c>
      <c r="F2812">
        <f t="shared" ref="F2812:F2824" si="69">SUM(E2812+1000)</f>
        <v>46968</v>
      </c>
      <c r="G2812">
        <v>48000</v>
      </c>
      <c r="H2812">
        <v>68100</v>
      </c>
    </row>
    <row r="2813" spans="1:8" x14ac:dyDescent="0.25">
      <c r="A2813" s="10">
        <v>3320</v>
      </c>
      <c r="B2813" s="2" t="s">
        <v>3551</v>
      </c>
      <c r="C2813" s="2" t="s">
        <v>3532</v>
      </c>
      <c r="D2813" s="1">
        <v>142</v>
      </c>
      <c r="E2813">
        <v>53528</v>
      </c>
      <c r="F2813">
        <f t="shared" si="69"/>
        <v>54528</v>
      </c>
      <c r="G2813">
        <v>55000</v>
      </c>
      <c r="H2813">
        <v>79300</v>
      </c>
    </row>
    <row r="2814" spans="1:8" x14ac:dyDescent="0.25">
      <c r="A2814" s="10">
        <v>3321</v>
      </c>
      <c r="B2814" s="2" t="s">
        <v>3551</v>
      </c>
      <c r="C2814" s="2" t="s">
        <v>3533</v>
      </c>
      <c r="D2814" s="1">
        <v>142</v>
      </c>
      <c r="E2814">
        <v>58590</v>
      </c>
      <c r="F2814">
        <f t="shared" si="69"/>
        <v>59590</v>
      </c>
      <c r="G2814">
        <v>62000</v>
      </c>
      <c r="H2814">
        <v>86800</v>
      </c>
    </row>
    <row r="2815" spans="1:8" x14ac:dyDescent="0.25">
      <c r="A2815" s="10">
        <v>3322</v>
      </c>
      <c r="B2815" s="2" t="s">
        <v>3551</v>
      </c>
      <c r="C2815" s="2" t="s">
        <v>3534</v>
      </c>
      <c r="D2815" s="1">
        <v>142</v>
      </c>
      <c r="E2815">
        <v>70808</v>
      </c>
      <c r="F2815">
        <f t="shared" si="69"/>
        <v>71808</v>
      </c>
      <c r="G2815">
        <v>75000</v>
      </c>
      <c r="H2815">
        <v>104900</v>
      </c>
    </row>
    <row r="2816" spans="1:8" x14ac:dyDescent="0.25">
      <c r="A2816" s="10">
        <v>3323</v>
      </c>
      <c r="B2816" s="2" t="s">
        <v>3551</v>
      </c>
      <c r="C2816" s="2" t="s">
        <v>3535</v>
      </c>
      <c r="D2816" s="1">
        <v>142</v>
      </c>
      <c r="E2816">
        <v>34825</v>
      </c>
      <c r="F2816">
        <f t="shared" si="69"/>
        <v>35825</v>
      </c>
      <c r="G2816">
        <v>38000</v>
      </c>
      <c r="H2816">
        <v>49750</v>
      </c>
    </row>
    <row r="2817" spans="1:8" x14ac:dyDescent="0.25">
      <c r="A2817" s="10">
        <v>3324</v>
      </c>
      <c r="B2817" s="2" t="s">
        <v>3551</v>
      </c>
      <c r="C2817" s="2" t="s">
        <v>3536</v>
      </c>
      <c r="D2817" s="1">
        <v>142</v>
      </c>
      <c r="E2817">
        <v>41825</v>
      </c>
      <c r="F2817">
        <f t="shared" si="69"/>
        <v>42825</v>
      </c>
      <c r="G2817">
        <v>45000</v>
      </c>
      <c r="H2817">
        <v>59750</v>
      </c>
    </row>
    <row r="2818" spans="1:8" x14ac:dyDescent="0.25">
      <c r="A2818" s="10">
        <v>3325</v>
      </c>
      <c r="B2818" s="2" t="s">
        <v>3551</v>
      </c>
      <c r="C2818" s="2" t="s">
        <v>3537</v>
      </c>
      <c r="D2818" s="1">
        <v>142</v>
      </c>
      <c r="E2818">
        <v>48825</v>
      </c>
      <c r="F2818">
        <f t="shared" si="69"/>
        <v>49825</v>
      </c>
      <c r="G2818">
        <v>50000</v>
      </c>
      <c r="H2818">
        <v>69750</v>
      </c>
    </row>
    <row r="2819" spans="1:8" x14ac:dyDescent="0.25">
      <c r="A2819" s="10">
        <v>3326</v>
      </c>
      <c r="B2819" s="2" t="s">
        <v>3551</v>
      </c>
      <c r="C2819" s="2" t="s">
        <v>3538</v>
      </c>
      <c r="D2819" s="1">
        <v>142</v>
      </c>
      <c r="E2819">
        <v>28792</v>
      </c>
      <c r="F2819">
        <f t="shared" si="69"/>
        <v>29792</v>
      </c>
      <c r="G2819">
        <v>30000</v>
      </c>
      <c r="H2819">
        <v>35990</v>
      </c>
    </row>
    <row r="2820" spans="1:8" x14ac:dyDescent="0.25">
      <c r="A2820" s="10">
        <v>3327</v>
      </c>
      <c r="B2820" s="2" t="s">
        <v>3551</v>
      </c>
      <c r="C2820" s="2" t="s">
        <v>3539</v>
      </c>
      <c r="D2820" s="1">
        <v>142</v>
      </c>
      <c r="E2820">
        <v>31192</v>
      </c>
      <c r="F2820">
        <f t="shared" si="69"/>
        <v>32192</v>
      </c>
      <c r="G2820">
        <v>35000</v>
      </c>
      <c r="H2820">
        <v>38990</v>
      </c>
    </row>
    <row r="2821" spans="1:8" x14ac:dyDescent="0.25">
      <c r="A2821" s="10">
        <v>3328</v>
      </c>
      <c r="B2821" s="2" t="s">
        <v>3551</v>
      </c>
      <c r="C2821" s="2" t="s">
        <v>3540</v>
      </c>
      <c r="D2821" s="1">
        <v>142</v>
      </c>
      <c r="E2821">
        <v>36792</v>
      </c>
      <c r="F2821">
        <f t="shared" si="69"/>
        <v>37792</v>
      </c>
      <c r="G2821">
        <v>38000</v>
      </c>
      <c r="H2821">
        <v>45990</v>
      </c>
    </row>
    <row r="2822" spans="1:8" x14ac:dyDescent="0.25">
      <c r="A2822" s="10">
        <v>3329</v>
      </c>
      <c r="B2822" s="2" t="s">
        <v>3551</v>
      </c>
      <c r="C2822" s="2" t="s">
        <v>3541</v>
      </c>
      <c r="D2822" s="1">
        <v>142</v>
      </c>
      <c r="E2822">
        <v>46193</v>
      </c>
      <c r="F2822">
        <f t="shared" si="69"/>
        <v>47193</v>
      </c>
      <c r="G2822">
        <v>50000</v>
      </c>
      <c r="H2822">
        <v>65990</v>
      </c>
    </row>
    <row r="2823" spans="1:8" x14ac:dyDescent="0.25">
      <c r="A2823" s="10">
        <v>3330</v>
      </c>
      <c r="B2823" s="2" t="s">
        <v>3551</v>
      </c>
      <c r="C2823" s="2" t="s">
        <v>3542</v>
      </c>
      <c r="D2823" s="1">
        <v>142</v>
      </c>
      <c r="E2823">
        <v>34993</v>
      </c>
      <c r="F2823">
        <f t="shared" si="69"/>
        <v>35993</v>
      </c>
      <c r="G2823">
        <v>40000</v>
      </c>
      <c r="H2823">
        <v>49990</v>
      </c>
    </row>
    <row r="2824" spans="1:8" x14ac:dyDescent="0.25">
      <c r="A2824" s="10">
        <v>3331</v>
      </c>
      <c r="B2824" s="2" t="s">
        <v>3551</v>
      </c>
      <c r="C2824" s="2" t="s">
        <v>3543</v>
      </c>
      <c r="D2824" s="1">
        <v>142</v>
      </c>
      <c r="E2824">
        <v>47250</v>
      </c>
      <c r="F2824">
        <f t="shared" si="69"/>
        <v>48250</v>
      </c>
      <c r="G2824">
        <v>50000</v>
      </c>
      <c r="H2824">
        <v>67500</v>
      </c>
    </row>
    <row r="2825" spans="1:8" x14ac:dyDescent="0.25">
      <c r="A2825"/>
      <c r="B2825" s="1"/>
      <c r="C2825" s="2"/>
    </row>
    <row r="2826" spans="1:8" x14ac:dyDescent="0.25">
      <c r="A2826"/>
      <c r="B2826" s="2"/>
      <c r="C2826" s="2"/>
    </row>
    <row r="2827" spans="1:8" x14ac:dyDescent="0.25">
      <c r="A2827" s="10">
        <v>3332</v>
      </c>
      <c r="B2827" s="2" t="s">
        <v>3551</v>
      </c>
      <c r="C2827" s="2" t="s">
        <v>3546</v>
      </c>
      <c r="D2827" s="1">
        <v>142</v>
      </c>
      <c r="E2827">
        <v>21803</v>
      </c>
      <c r="F2827">
        <f>SUM(E2827+300)</f>
        <v>22103</v>
      </c>
      <c r="G2827">
        <v>23000</v>
      </c>
      <c r="H2827">
        <v>25650</v>
      </c>
    </row>
    <row r="2828" spans="1:8" x14ac:dyDescent="0.25">
      <c r="A2828" s="10">
        <v>3333</v>
      </c>
      <c r="B2828" s="2" t="s">
        <v>3551</v>
      </c>
      <c r="C2828" s="2" t="s">
        <v>3547</v>
      </c>
      <c r="D2828" s="1">
        <v>142</v>
      </c>
      <c r="E2828">
        <v>37740</v>
      </c>
      <c r="F2828">
        <f t="shared" ref="F2828:F2838" si="70">SUM(E2828+300)</f>
        <v>38040</v>
      </c>
      <c r="G2828">
        <v>39900</v>
      </c>
      <c r="H2828">
        <v>44400</v>
      </c>
    </row>
    <row r="2829" spans="1:8" x14ac:dyDescent="0.25">
      <c r="A2829" s="10">
        <v>3334</v>
      </c>
      <c r="B2829" s="2" t="s">
        <v>3551</v>
      </c>
      <c r="C2829" s="2" t="s">
        <v>3548</v>
      </c>
      <c r="D2829" s="1">
        <v>142</v>
      </c>
      <c r="E2829">
        <v>42713</v>
      </c>
      <c r="F2829">
        <f t="shared" si="70"/>
        <v>43013</v>
      </c>
      <c r="G2829">
        <v>45000</v>
      </c>
      <c r="H2829">
        <v>50250</v>
      </c>
    </row>
    <row r="2830" spans="1:8" x14ac:dyDescent="0.25">
      <c r="A2830" s="10">
        <v>3335</v>
      </c>
      <c r="B2830" s="2" t="s">
        <v>3551</v>
      </c>
      <c r="C2830" s="2" t="s">
        <v>3549</v>
      </c>
      <c r="D2830" s="1">
        <v>142</v>
      </c>
      <c r="E2830">
        <v>46963</v>
      </c>
      <c r="F2830">
        <f t="shared" si="70"/>
        <v>47263</v>
      </c>
      <c r="G2830">
        <v>49700</v>
      </c>
      <c r="H2830">
        <v>55250</v>
      </c>
    </row>
    <row r="2831" spans="1:8" x14ac:dyDescent="0.25">
      <c r="A2831" s="10">
        <v>3336</v>
      </c>
      <c r="B2831" s="2" t="s">
        <v>3551</v>
      </c>
      <c r="C2831" s="2" t="s">
        <v>3550</v>
      </c>
      <c r="D2831" s="1">
        <v>142</v>
      </c>
      <c r="E2831">
        <v>56738</v>
      </c>
      <c r="F2831">
        <f t="shared" si="70"/>
        <v>57038</v>
      </c>
      <c r="G2831">
        <v>60000</v>
      </c>
      <c r="H2831">
        <v>66750</v>
      </c>
    </row>
    <row r="2832" spans="1:8" x14ac:dyDescent="0.25">
      <c r="A2832"/>
      <c r="B2832" s="1"/>
      <c r="C2832" s="2"/>
    </row>
    <row r="2833" spans="1:8" x14ac:dyDescent="0.25">
      <c r="A2833" s="10">
        <v>3337</v>
      </c>
      <c r="B2833" s="2" t="s">
        <v>3551</v>
      </c>
      <c r="C2833" s="2" t="s">
        <v>3552</v>
      </c>
      <c r="D2833" s="1">
        <v>142</v>
      </c>
      <c r="E2833">
        <v>17689</v>
      </c>
      <c r="F2833">
        <f t="shared" si="70"/>
        <v>17989</v>
      </c>
      <c r="G2833">
        <v>18500</v>
      </c>
      <c r="H2833">
        <v>20810</v>
      </c>
    </row>
    <row r="2834" spans="1:8" x14ac:dyDescent="0.25">
      <c r="A2834" s="10">
        <v>3338</v>
      </c>
      <c r="B2834" s="2" t="s">
        <v>3551</v>
      </c>
      <c r="C2834" s="2" t="s">
        <v>3553</v>
      </c>
      <c r="D2834" s="1">
        <v>142</v>
      </c>
      <c r="E2834">
        <v>23647</v>
      </c>
      <c r="F2834">
        <f t="shared" si="70"/>
        <v>23947</v>
      </c>
      <c r="G2834">
        <v>25000</v>
      </c>
      <c r="H2834">
        <v>27820</v>
      </c>
    </row>
    <row r="2835" spans="1:8" x14ac:dyDescent="0.25">
      <c r="A2835" s="10">
        <v>3339</v>
      </c>
      <c r="B2835" s="2" t="s">
        <v>3551</v>
      </c>
      <c r="C2835" s="2" t="s">
        <v>3554</v>
      </c>
      <c r="D2835" s="1">
        <v>142</v>
      </c>
      <c r="E2835">
        <v>25313</v>
      </c>
      <c r="F2835">
        <f t="shared" si="70"/>
        <v>25613</v>
      </c>
      <c r="G2835">
        <v>26800</v>
      </c>
      <c r="H2835">
        <v>29780</v>
      </c>
    </row>
    <row r="2836" spans="1:8" x14ac:dyDescent="0.25">
      <c r="A2836" s="10">
        <v>3340</v>
      </c>
      <c r="B2836" s="2" t="s">
        <v>3551</v>
      </c>
      <c r="C2836" s="2" t="s">
        <v>3555</v>
      </c>
      <c r="D2836" s="1">
        <v>142</v>
      </c>
      <c r="E2836">
        <v>32283</v>
      </c>
      <c r="F2836">
        <f t="shared" si="70"/>
        <v>32583</v>
      </c>
      <c r="G2836">
        <v>34000</v>
      </c>
      <c r="H2836">
        <v>37980</v>
      </c>
    </row>
    <row r="2837" spans="1:8" x14ac:dyDescent="0.25">
      <c r="A2837" s="10">
        <v>3341</v>
      </c>
      <c r="B2837" s="2" t="s">
        <v>3551</v>
      </c>
      <c r="C2837" s="2" t="s">
        <v>3556</v>
      </c>
      <c r="D2837" s="1">
        <v>142</v>
      </c>
      <c r="E2837">
        <v>35640</v>
      </c>
      <c r="F2837">
        <f t="shared" si="70"/>
        <v>35940</v>
      </c>
      <c r="G2837">
        <v>37500</v>
      </c>
      <c r="H2837">
        <v>41930</v>
      </c>
    </row>
    <row r="2838" spans="1:8" x14ac:dyDescent="0.25">
      <c r="A2838" s="10">
        <v>3342</v>
      </c>
      <c r="B2838" s="2" t="s">
        <v>3551</v>
      </c>
      <c r="C2838" s="2" t="s">
        <v>3557</v>
      </c>
      <c r="D2838" s="1">
        <v>142</v>
      </c>
      <c r="E2838">
        <v>72250</v>
      </c>
      <c r="F2838">
        <f t="shared" si="70"/>
        <v>72550</v>
      </c>
      <c r="G2838">
        <v>76500</v>
      </c>
      <c r="H2838">
        <v>85000</v>
      </c>
    </row>
    <row r="2840" spans="1:8" x14ac:dyDescent="0.25">
      <c r="A2840" s="10">
        <v>3343</v>
      </c>
      <c r="B2840" s="1" t="s">
        <v>3591</v>
      </c>
      <c r="C2840" s="2" t="s">
        <v>2595</v>
      </c>
      <c r="D2840" s="1" t="s">
        <v>3593</v>
      </c>
      <c r="E2840">
        <v>1340</v>
      </c>
      <c r="H2840">
        <v>3350</v>
      </c>
    </row>
    <row r="2841" spans="1:8" x14ac:dyDescent="0.25">
      <c r="A2841" s="10">
        <v>3344</v>
      </c>
      <c r="B2841" s="1" t="s">
        <v>3591</v>
      </c>
      <c r="C2841" s="2" t="s">
        <v>2596</v>
      </c>
      <c r="D2841" s="1">
        <v>143</v>
      </c>
      <c r="E2841">
        <v>1340</v>
      </c>
      <c r="H2841">
        <v>3350</v>
      </c>
    </row>
    <row r="2842" spans="1:8" x14ac:dyDescent="0.25">
      <c r="A2842" s="10">
        <v>3345</v>
      </c>
      <c r="B2842" s="1" t="s">
        <v>3591</v>
      </c>
      <c r="C2842" s="2" t="s">
        <v>2597</v>
      </c>
      <c r="D2842" s="1">
        <v>143</v>
      </c>
      <c r="E2842">
        <v>740</v>
      </c>
      <c r="H2842">
        <v>1850</v>
      </c>
    </row>
    <row r="2843" spans="1:8" x14ac:dyDescent="0.25">
      <c r="A2843" s="10">
        <v>3346</v>
      </c>
      <c r="B2843" s="1" t="s">
        <v>3591</v>
      </c>
      <c r="C2843" s="2" t="s">
        <v>2598</v>
      </c>
      <c r="D2843" s="1">
        <v>143</v>
      </c>
      <c r="E2843">
        <v>740</v>
      </c>
      <c r="H2843">
        <v>1850</v>
      </c>
    </row>
    <row r="2844" spans="1:8" x14ac:dyDescent="0.25">
      <c r="A2844"/>
      <c r="B2844" s="1"/>
      <c r="C2844" s="2"/>
    </row>
    <row r="2845" spans="1:8" x14ac:dyDescent="0.25">
      <c r="A2845"/>
      <c r="B2845" s="1"/>
      <c r="C2845" s="2"/>
    </row>
    <row r="2846" spans="1:8" x14ac:dyDescent="0.25">
      <c r="A2846" s="10">
        <v>3347</v>
      </c>
      <c r="B2846" s="1" t="s">
        <v>3592</v>
      </c>
      <c r="C2846" s="2" t="s">
        <v>2599</v>
      </c>
      <c r="D2846" s="1">
        <v>143</v>
      </c>
      <c r="E2846">
        <v>1300</v>
      </c>
      <c r="H2846">
        <v>3250</v>
      </c>
    </row>
    <row r="2847" spans="1:8" x14ac:dyDescent="0.25">
      <c r="A2847" s="10">
        <v>3348</v>
      </c>
      <c r="B2847" s="1" t="s">
        <v>3592</v>
      </c>
      <c r="C2847" s="2" t="s">
        <v>2600</v>
      </c>
      <c r="D2847" s="1">
        <v>143</v>
      </c>
      <c r="E2847">
        <v>1300</v>
      </c>
      <c r="H2847">
        <v>3250</v>
      </c>
    </row>
    <row r="2848" spans="1:8" x14ac:dyDescent="0.25">
      <c r="A2848" s="10">
        <v>3349</v>
      </c>
      <c r="B2848" s="1" t="s">
        <v>3592</v>
      </c>
      <c r="C2848" s="2" t="s">
        <v>2601</v>
      </c>
      <c r="D2848" s="1">
        <v>143</v>
      </c>
      <c r="E2848">
        <v>1300</v>
      </c>
      <c r="H2848">
        <v>3250</v>
      </c>
    </row>
    <row r="2849" spans="1:8" x14ac:dyDescent="0.25">
      <c r="A2849" s="10">
        <v>3350</v>
      </c>
      <c r="B2849" s="1" t="s">
        <v>3592</v>
      </c>
      <c r="C2849" s="2" t="s">
        <v>2602</v>
      </c>
      <c r="D2849" s="1">
        <v>143</v>
      </c>
      <c r="E2849">
        <v>740</v>
      </c>
      <c r="H2849">
        <v>1850</v>
      </c>
    </row>
    <row r="2850" spans="1:8" x14ac:dyDescent="0.25">
      <c r="A2850" s="10">
        <v>3351</v>
      </c>
      <c r="B2850" s="1" t="s">
        <v>3592</v>
      </c>
      <c r="C2850" s="2" t="s">
        <v>2603</v>
      </c>
      <c r="D2850" s="1">
        <v>143</v>
      </c>
      <c r="E2850">
        <v>740</v>
      </c>
      <c r="H2850">
        <v>1850</v>
      </c>
    </row>
    <row r="2851" spans="1:8" x14ac:dyDescent="0.25">
      <c r="A2851" s="10">
        <v>3352</v>
      </c>
      <c r="B2851" s="1" t="s">
        <v>3592</v>
      </c>
      <c r="C2851" s="2" t="s">
        <v>2604</v>
      </c>
      <c r="D2851" s="1">
        <v>143</v>
      </c>
      <c r="E2851">
        <v>740</v>
      </c>
      <c r="H2851">
        <v>1850</v>
      </c>
    </row>
    <row r="2852" spans="1:8" x14ac:dyDescent="0.25">
      <c r="A2852"/>
      <c r="B2852" s="1"/>
      <c r="C2852" s="2"/>
    </row>
    <row r="2853" spans="1:8" x14ac:dyDescent="0.25">
      <c r="A2853" s="10">
        <v>3353</v>
      </c>
      <c r="B2853" s="1" t="s">
        <v>3591</v>
      </c>
      <c r="C2853" s="2" t="s">
        <v>2605</v>
      </c>
      <c r="D2853" s="1" t="s">
        <v>3594</v>
      </c>
    </row>
    <row r="2854" spans="1:8" x14ac:dyDescent="0.25">
      <c r="A2854" s="10">
        <v>3354</v>
      </c>
      <c r="B2854" s="1" t="s">
        <v>3591</v>
      </c>
      <c r="C2854" s="2" t="s">
        <v>2606</v>
      </c>
      <c r="D2854" s="1">
        <v>144</v>
      </c>
    </row>
    <row r="2855" spans="1:8" x14ac:dyDescent="0.25">
      <c r="A2855" s="10">
        <v>3355</v>
      </c>
      <c r="B2855" s="1" t="s">
        <v>3591</v>
      </c>
      <c r="C2855" s="2" t="s">
        <v>2607</v>
      </c>
      <c r="D2855" s="1">
        <v>144</v>
      </c>
    </row>
    <row r="2856" spans="1:8" x14ac:dyDescent="0.25">
      <c r="A2856" s="10">
        <v>3356</v>
      </c>
      <c r="B2856" s="1" t="s">
        <v>3591</v>
      </c>
      <c r="C2856" s="2" t="s">
        <v>2608</v>
      </c>
      <c r="D2856" s="1">
        <v>144</v>
      </c>
    </row>
    <row r="2857" spans="1:8" x14ac:dyDescent="0.25">
      <c r="A2857" s="10">
        <v>3357</v>
      </c>
      <c r="B2857" s="1" t="s">
        <v>3591</v>
      </c>
      <c r="C2857" s="2" t="s">
        <v>2609</v>
      </c>
      <c r="D2857" s="1">
        <v>144</v>
      </c>
    </row>
    <row r="2858" spans="1:8" x14ac:dyDescent="0.25">
      <c r="A2858" s="10">
        <v>3358</v>
      </c>
      <c r="B2858" s="1" t="s">
        <v>3591</v>
      </c>
      <c r="C2858" s="2" t="s">
        <v>2610</v>
      </c>
      <c r="D2858" s="1">
        <v>144</v>
      </c>
    </row>
    <row r="2859" spans="1:8" x14ac:dyDescent="0.25">
      <c r="A2859" s="10">
        <v>3359</v>
      </c>
      <c r="B2859" s="1" t="s">
        <v>3591</v>
      </c>
      <c r="C2859" s="2" t="s">
        <v>2611</v>
      </c>
      <c r="D2859" s="1">
        <v>144</v>
      </c>
    </row>
    <row r="2860" spans="1:8" x14ac:dyDescent="0.25">
      <c r="A2860" s="10">
        <v>3360</v>
      </c>
      <c r="B2860" s="1" t="s">
        <v>3591</v>
      </c>
      <c r="C2860" s="2" t="s">
        <v>2612</v>
      </c>
      <c r="D2860" s="1">
        <v>144</v>
      </c>
    </row>
    <row r="2861" spans="1:8" x14ac:dyDescent="0.25">
      <c r="A2861" s="10">
        <v>3361</v>
      </c>
      <c r="B2861" s="1" t="s">
        <v>3591</v>
      </c>
      <c r="C2861" s="2" t="s">
        <v>2613</v>
      </c>
      <c r="D2861" s="1">
        <v>144</v>
      </c>
    </row>
    <row r="2862" spans="1:8" x14ac:dyDescent="0.25">
      <c r="A2862"/>
      <c r="B2862" s="1"/>
      <c r="C2862" s="2"/>
    </row>
    <row r="2863" spans="1:8" x14ac:dyDescent="0.25">
      <c r="A2863" s="10">
        <v>3362</v>
      </c>
      <c r="B2863" s="1" t="s">
        <v>3591</v>
      </c>
      <c r="C2863" s="2" t="s">
        <v>2622</v>
      </c>
      <c r="D2863" s="1">
        <v>144</v>
      </c>
      <c r="E2863">
        <v>1065</v>
      </c>
      <c r="F2863">
        <v>1100</v>
      </c>
      <c r="G2863">
        <v>1200</v>
      </c>
      <c r="H2863">
        <v>2130</v>
      </c>
    </row>
    <row r="2864" spans="1:8" x14ac:dyDescent="0.25">
      <c r="A2864" s="10">
        <v>3363</v>
      </c>
      <c r="B2864" s="1" t="s">
        <v>3591</v>
      </c>
      <c r="C2864" s="2" t="s">
        <v>2623</v>
      </c>
      <c r="D2864" s="1">
        <v>144</v>
      </c>
      <c r="E2864">
        <v>1065</v>
      </c>
      <c r="F2864">
        <v>1100</v>
      </c>
      <c r="G2864">
        <v>1200</v>
      </c>
      <c r="H2864">
        <v>2130</v>
      </c>
    </row>
    <row r="2865" spans="1:8" x14ac:dyDescent="0.25">
      <c r="A2865" s="10">
        <v>3364</v>
      </c>
      <c r="B2865" s="1" t="s">
        <v>3591</v>
      </c>
      <c r="C2865" s="2" t="s">
        <v>2624</v>
      </c>
      <c r="D2865" s="1">
        <v>144</v>
      </c>
      <c r="E2865">
        <v>1065</v>
      </c>
      <c r="F2865">
        <v>1100</v>
      </c>
      <c r="G2865">
        <v>1200</v>
      </c>
      <c r="H2865">
        <v>2130</v>
      </c>
    </row>
    <row r="2866" spans="1:8" x14ac:dyDescent="0.25">
      <c r="A2866" s="10">
        <v>3365</v>
      </c>
      <c r="B2866" s="1" t="s">
        <v>3591</v>
      </c>
      <c r="C2866" s="2" t="s">
        <v>2625</v>
      </c>
      <c r="D2866" s="1">
        <v>144</v>
      </c>
      <c r="E2866">
        <v>1065</v>
      </c>
      <c r="F2866">
        <v>1100</v>
      </c>
      <c r="G2866">
        <v>1200</v>
      </c>
      <c r="H2866">
        <v>2130</v>
      </c>
    </row>
    <row r="2867" spans="1:8" x14ac:dyDescent="0.25">
      <c r="A2867" s="10">
        <v>3366</v>
      </c>
      <c r="B2867" s="1" t="s">
        <v>3591</v>
      </c>
      <c r="C2867" s="2" t="s">
        <v>2626</v>
      </c>
      <c r="D2867" s="1">
        <v>144</v>
      </c>
      <c r="E2867">
        <v>1065</v>
      </c>
      <c r="F2867">
        <v>1100</v>
      </c>
      <c r="G2867">
        <v>1200</v>
      </c>
      <c r="H2867">
        <v>2130</v>
      </c>
    </row>
    <row r="2868" spans="1:8" x14ac:dyDescent="0.25">
      <c r="A2868" s="10">
        <v>3367</v>
      </c>
      <c r="B2868" s="1" t="s">
        <v>3591</v>
      </c>
      <c r="C2868" s="2" t="s">
        <v>2627</v>
      </c>
      <c r="D2868" s="1">
        <v>144</v>
      </c>
      <c r="E2868">
        <v>1065</v>
      </c>
      <c r="F2868">
        <v>1100</v>
      </c>
      <c r="G2868">
        <v>1200</v>
      </c>
      <c r="H2868">
        <v>2130</v>
      </c>
    </row>
    <row r="2869" spans="1:8" x14ac:dyDescent="0.25">
      <c r="A2869" s="10">
        <v>3368</v>
      </c>
      <c r="B2869" s="1" t="s">
        <v>3591</v>
      </c>
      <c r="C2869" s="2" t="s">
        <v>2628</v>
      </c>
      <c r="D2869" s="1">
        <v>144</v>
      </c>
      <c r="E2869">
        <v>1065</v>
      </c>
      <c r="F2869">
        <v>1100</v>
      </c>
      <c r="G2869">
        <v>1200</v>
      </c>
      <c r="H2869">
        <v>2130</v>
      </c>
    </row>
    <row r="2870" spans="1:8" x14ac:dyDescent="0.25">
      <c r="A2870" s="10">
        <v>3369</v>
      </c>
      <c r="B2870" s="1" t="s">
        <v>3591</v>
      </c>
      <c r="C2870" s="2" t="s">
        <v>2629</v>
      </c>
      <c r="D2870" s="1">
        <v>144</v>
      </c>
      <c r="E2870">
        <v>1065</v>
      </c>
      <c r="F2870">
        <v>1100</v>
      </c>
      <c r="G2870">
        <v>1200</v>
      </c>
      <c r="H2870">
        <v>2130</v>
      </c>
    </row>
    <row r="2871" spans="1:8" x14ac:dyDescent="0.25">
      <c r="A2871" s="10">
        <v>3370</v>
      </c>
      <c r="B2871" s="1" t="s">
        <v>3591</v>
      </c>
      <c r="C2871" s="2" t="s">
        <v>2630</v>
      </c>
      <c r="D2871" s="1">
        <v>144</v>
      </c>
      <c r="E2871">
        <v>1065</v>
      </c>
      <c r="F2871">
        <v>1100</v>
      </c>
      <c r="G2871">
        <v>1200</v>
      </c>
      <c r="H2871">
        <v>2130</v>
      </c>
    </row>
    <row r="2872" spans="1:8" x14ac:dyDescent="0.25">
      <c r="A2872"/>
      <c r="B2872" s="1"/>
      <c r="C2872" s="2"/>
    </row>
    <row r="2873" spans="1:8" x14ac:dyDescent="0.25">
      <c r="A2873" s="10">
        <v>3371</v>
      </c>
      <c r="B2873" s="1" t="s">
        <v>3591</v>
      </c>
      <c r="C2873" s="2" t="s">
        <v>2631</v>
      </c>
      <c r="D2873" s="1">
        <v>144</v>
      </c>
      <c r="E2873">
        <v>1910</v>
      </c>
      <c r="F2873">
        <v>2000</v>
      </c>
      <c r="G2873">
        <v>2200</v>
      </c>
      <c r="H2873">
        <v>3820</v>
      </c>
    </row>
    <row r="2874" spans="1:8" x14ac:dyDescent="0.25">
      <c r="A2874" s="10">
        <v>3372</v>
      </c>
      <c r="B2874" s="1" t="s">
        <v>3591</v>
      </c>
      <c r="C2874" s="2" t="s">
        <v>2632</v>
      </c>
      <c r="D2874" s="1">
        <v>144</v>
      </c>
      <c r="E2874">
        <v>1910</v>
      </c>
      <c r="F2874">
        <v>2000</v>
      </c>
      <c r="G2874">
        <v>2200</v>
      </c>
      <c r="H2874">
        <v>3820</v>
      </c>
    </row>
    <row r="2875" spans="1:8" x14ac:dyDescent="0.25">
      <c r="A2875" s="10">
        <v>3373</v>
      </c>
      <c r="B2875" s="1" t="s">
        <v>3591</v>
      </c>
      <c r="C2875" s="2" t="s">
        <v>2633</v>
      </c>
      <c r="D2875" s="1">
        <v>144</v>
      </c>
      <c r="E2875">
        <v>1910</v>
      </c>
      <c r="F2875">
        <v>2000</v>
      </c>
      <c r="G2875">
        <v>2200</v>
      </c>
      <c r="H2875">
        <v>3820</v>
      </c>
    </row>
    <row r="2876" spans="1:8" x14ac:dyDescent="0.25">
      <c r="A2876" s="10">
        <v>3374</v>
      </c>
      <c r="B2876" s="1" t="s">
        <v>3591</v>
      </c>
      <c r="C2876" s="2" t="s">
        <v>2634</v>
      </c>
      <c r="D2876" s="1">
        <v>144</v>
      </c>
      <c r="E2876">
        <v>1910</v>
      </c>
      <c r="F2876">
        <v>2000</v>
      </c>
      <c r="G2876">
        <v>2200</v>
      </c>
      <c r="H2876">
        <v>3820</v>
      </c>
    </row>
    <row r="2877" spans="1:8" x14ac:dyDescent="0.25">
      <c r="A2877" s="10">
        <v>3375</v>
      </c>
      <c r="B2877" s="1" t="s">
        <v>3591</v>
      </c>
      <c r="C2877" s="2" t="s">
        <v>2635</v>
      </c>
      <c r="D2877" s="1">
        <v>144</v>
      </c>
      <c r="E2877">
        <v>1910</v>
      </c>
      <c r="F2877">
        <v>2000</v>
      </c>
      <c r="G2877">
        <v>2200</v>
      </c>
      <c r="H2877">
        <v>3820</v>
      </c>
    </row>
    <row r="2878" spans="1:8" x14ac:dyDescent="0.25">
      <c r="A2878" s="10">
        <v>3376</v>
      </c>
      <c r="B2878" s="1" t="s">
        <v>3591</v>
      </c>
      <c r="C2878" s="2" t="s">
        <v>2636</v>
      </c>
      <c r="D2878" s="1">
        <v>144</v>
      </c>
      <c r="E2878">
        <v>1910</v>
      </c>
      <c r="F2878">
        <v>2000</v>
      </c>
      <c r="G2878">
        <v>2200</v>
      </c>
      <c r="H2878">
        <v>3820</v>
      </c>
    </row>
    <row r="2879" spans="1:8" x14ac:dyDescent="0.25">
      <c r="A2879" s="10">
        <v>3377</v>
      </c>
      <c r="B2879" s="1" t="s">
        <v>3591</v>
      </c>
      <c r="C2879" s="2" t="s">
        <v>2637</v>
      </c>
      <c r="D2879" s="1">
        <v>144</v>
      </c>
      <c r="E2879">
        <v>1910</v>
      </c>
      <c r="F2879">
        <v>2000</v>
      </c>
      <c r="G2879">
        <v>2200</v>
      </c>
      <c r="H2879">
        <v>3820</v>
      </c>
    </row>
    <row r="2880" spans="1:8" x14ac:dyDescent="0.25">
      <c r="A2880" s="10">
        <v>3378</v>
      </c>
      <c r="B2880" s="1" t="s">
        <v>3591</v>
      </c>
      <c r="C2880" s="2" t="s">
        <v>2638</v>
      </c>
      <c r="D2880" s="1">
        <v>144</v>
      </c>
      <c r="E2880">
        <v>1910</v>
      </c>
      <c r="F2880">
        <v>2000</v>
      </c>
      <c r="G2880">
        <v>2200</v>
      </c>
      <c r="H2880">
        <v>3820</v>
      </c>
    </row>
    <row r="2881" spans="1:8" x14ac:dyDescent="0.25">
      <c r="A2881" s="10">
        <v>3379</v>
      </c>
      <c r="B2881" s="1" t="s">
        <v>3591</v>
      </c>
      <c r="C2881" s="2" t="s">
        <v>2639</v>
      </c>
      <c r="D2881" s="1">
        <v>144</v>
      </c>
      <c r="E2881">
        <v>1910</v>
      </c>
      <c r="F2881">
        <v>2000</v>
      </c>
      <c r="G2881">
        <v>2200</v>
      </c>
      <c r="H2881">
        <v>3820</v>
      </c>
    </row>
    <row r="2882" spans="1:8" x14ac:dyDescent="0.25">
      <c r="A2882"/>
      <c r="B2882" s="1"/>
      <c r="C2882" s="2"/>
    </row>
    <row r="2883" spans="1:8" x14ac:dyDescent="0.25">
      <c r="A2883" s="10">
        <v>3380</v>
      </c>
      <c r="B2883" s="1" t="s">
        <v>3591</v>
      </c>
      <c r="C2883" s="2" t="s">
        <v>2640</v>
      </c>
      <c r="D2883" s="1">
        <v>144</v>
      </c>
      <c r="E2883">
        <v>6900</v>
      </c>
      <c r="F2883">
        <v>7000</v>
      </c>
      <c r="G2883">
        <v>7300</v>
      </c>
      <c r="H2883">
        <v>13710</v>
      </c>
    </row>
    <row r="2884" spans="1:8" x14ac:dyDescent="0.25">
      <c r="A2884" s="10">
        <v>3381</v>
      </c>
      <c r="B2884" s="1" t="s">
        <v>3591</v>
      </c>
      <c r="C2884" s="2" t="s">
        <v>2641</v>
      </c>
      <c r="D2884" s="1">
        <v>144</v>
      </c>
      <c r="E2884">
        <v>6900</v>
      </c>
      <c r="F2884">
        <v>7000</v>
      </c>
      <c r="G2884">
        <v>7300</v>
      </c>
      <c r="H2884">
        <v>13710</v>
      </c>
    </row>
    <row r="2885" spans="1:8" x14ac:dyDescent="0.25">
      <c r="A2885" s="10">
        <v>3382</v>
      </c>
      <c r="B2885" s="1" t="s">
        <v>3591</v>
      </c>
      <c r="C2885" s="2" t="s">
        <v>2642</v>
      </c>
      <c r="D2885" s="1">
        <v>144</v>
      </c>
      <c r="E2885">
        <v>6900</v>
      </c>
      <c r="F2885">
        <v>7000</v>
      </c>
      <c r="G2885">
        <v>7300</v>
      </c>
      <c r="H2885">
        <v>13710</v>
      </c>
    </row>
    <row r="2886" spans="1:8" x14ac:dyDescent="0.25">
      <c r="A2886" s="10">
        <v>3383</v>
      </c>
      <c r="B2886" s="1" t="s">
        <v>3591</v>
      </c>
      <c r="C2886" s="2" t="s">
        <v>2643</v>
      </c>
      <c r="D2886" s="1">
        <v>144</v>
      </c>
      <c r="E2886">
        <v>6900</v>
      </c>
      <c r="F2886">
        <v>7000</v>
      </c>
      <c r="G2886">
        <v>7300</v>
      </c>
      <c r="H2886">
        <v>13710</v>
      </c>
    </row>
    <row r="2887" spans="1:8" x14ac:dyDescent="0.25">
      <c r="A2887" s="10">
        <v>3384</v>
      </c>
      <c r="B2887" s="1" t="s">
        <v>3591</v>
      </c>
      <c r="C2887" s="2" t="s">
        <v>3002</v>
      </c>
      <c r="D2887" s="1">
        <v>144</v>
      </c>
      <c r="E2887">
        <v>6700</v>
      </c>
      <c r="F2887">
        <v>7000</v>
      </c>
      <c r="G2887">
        <v>7000</v>
      </c>
      <c r="H2887">
        <v>10080</v>
      </c>
    </row>
    <row r="2888" spans="1:8" x14ac:dyDescent="0.25">
      <c r="A2888" s="10">
        <v>3385</v>
      </c>
      <c r="B2888" s="1" t="s">
        <v>3591</v>
      </c>
      <c r="C2888" s="2" t="s">
        <v>2644</v>
      </c>
      <c r="D2888" s="1">
        <v>144</v>
      </c>
      <c r="E2888">
        <v>6900</v>
      </c>
      <c r="F2888">
        <v>7000</v>
      </c>
      <c r="G2888">
        <v>7300</v>
      </c>
      <c r="H2888">
        <v>13710</v>
      </c>
    </row>
    <row r="2889" spans="1:8" x14ac:dyDescent="0.25">
      <c r="A2889" s="10">
        <v>3386</v>
      </c>
      <c r="B2889" s="1" t="s">
        <v>3591</v>
      </c>
      <c r="C2889" s="2" t="s">
        <v>2645</v>
      </c>
      <c r="D2889" s="1">
        <v>144</v>
      </c>
      <c r="E2889">
        <v>6900</v>
      </c>
      <c r="F2889">
        <v>7000</v>
      </c>
      <c r="G2889">
        <v>7300</v>
      </c>
      <c r="H2889">
        <v>13710</v>
      </c>
    </row>
    <row r="2890" spans="1:8" x14ac:dyDescent="0.25">
      <c r="A2890" s="10">
        <v>3387</v>
      </c>
      <c r="B2890" s="1" t="s">
        <v>3591</v>
      </c>
      <c r="C2890" s="2" t="s">
        <v>2646</v>
      </c>
      <c r="D2890" s="1">
        <v>144</v>
      </c>
      <c r="E2890">
        <v>6900</v>
      </c>
      <c r="F2890">
        <v>7000</v>
      </c>
      <c r="G2890">
        <v>7300</v>
      </c>
      <c r="H2890">
        <v>13710</v>
      </c>
    </row>
    <row r="2891" spans="1:8" x14ac:dyDescent="0.25">
      <c r="A2891" s="10">
        <v>3388</v>
      </c>
      <c r="B2891" s="1" t="s">
        <v>3591</v>
      </c>
      <c r="C2891" s="2" t="s">
        <v>2647</v>
      </c>
      <c r="D2891" s="1">
        <v>144</v>
      </c>
      <c r="E2891">
        <v>6900</v>
      </c>
      <c r="F2891">
        <v>7000</v>
      </c>
      <c r="G2891">
        <v>7300</v>
      </c>
      <c r="H2891">
        <v>13710</v>
      </c>
    </row>
    <row r="2892" spans="1:8" x14ac:dyDescent="0.25">
      <c r="A2892"/>
      <c r="B2892" s="1"/>
      <c r="C2892" s="2"/>
    </row>
    <row r="2893" spans="1:8" x14ac:dyDescent="0.25">
      <c r="A2893" s="10">
        <v>3389</v>
      </c>
      <c r="B2893" s="1" t="s">
        <v>3592</v>
      </c>
      <c r="C2893" s="2" t="s">
        <v>2672</v>
      </c>
      <c r="D2893" s="1" t="s">
        <v>3595</v>
      </c>
    </row>
    <row r="2894" spans="1:8" x14ac:dyDescent="0.25">
      <c r="A2894" s="10">
        <v>3390</v>
      </c>
      <c r="B2894" s="1" t="s">
        <v>3592</v>
      </c>
      <c r="C2894" s="2" t="s">
        <v>2614</v>
      </c>
      <c r="D2894" s="1">
        <v>145</v>
      </c>
    </row>
    <row r="2895" spans="1:8" x14ac:dyDescent="0.25">
      <c r="A2895" s="10">
        <v>3391</v>
      </c>
      <c r="B2895" s="1" t="s">
        <v>3592</v>
      </c>
      <c r="C2895" s="2" t="s">
        <v>2615</v>
      </c>
      <c r="D2895" s="1">
        <v>145</v>
      </c>
    </row>
    <row r="2896" spans="1:8" x14ac:dyDescent="0.25">
      <c r="A2896" s="10">
        <v>3392</v>
      </c>
      <c r="B2896" s="1" t="s">
        <v>3592</v>
      </c>
      <c r="C2896" s="2" t="s">
        <v>2616</v>
      </c>
      <c r="D2896" s="1">
        <v>145</v>
      </c>
    </row>
    <row r="2897" spans="1:8" x14ac:dyDescent="0.25">
      <c r="A2897" s="10">
        <v>3393</v>
      </c>
      <c r="B2897" s="1" t="s">
        <v>3592</v>
      </c>
      <c r="C2897" s="2" t="s">
        <v>2617</v>
      </c>
      <c r="D2897" s="1">
        <v>145</v>
      </c>
    </row>
    <row r="2898" spans="1:8" x14ac:dyDescent="0.25">
      <c r="A2898" s="10">
        <v>3394</v>
      </c>
      <c r="B2898" s="1" t="s">
        <v>3592</v>
      </c>
      <c r="C2898" s="2" t="s">
        <v>2618</v>
      </c>
      <c r="D2898" s="1">
        <v>145</v>
      </c>
    </row>
    <row r="2899" spans="1:8" x14ac:dyDescent="0.25">
      <c r="A2899" s="10">
        <v>3395</v>
      </c>
      <c r="B2899" s="1" t="s">
        <v>3592</v>
      </c>
      <c r="C2899" s="2" t="s">
        <v>2619</v>
      </c>
      <c r="D2899" s="1">
        <v>145</v>
      </c>
    </row>
    <row r="2900" spans="1:8" x14ac:dyDescent="0.25">
      <c r="A2900" s="10">
        <v>3396</v>
      </c>
      <c r="B2900" s="1" t="s">
        <v>3592</v>
      </c>
      <c r="C2900" s="2" t="s">
        <v>2620</v>
      </c>
      <c r="D2900" s="1">
        <v>145</v>
      </c>
    </row>
    <row r="2901" spans="1:8" x14ac:dyDescent="0.25">
      <c r="A2901" s="10">
        <v>3397</v>
      </c>
      <c r="B2901" s="1" t="s">
        <v>3592</v>
      </c>
      <c r="C2901" s="2" t="s">
        <v>2621</v>
      </c>
      <c r="D2901" s="1">
        <v>145</v>
      </c>
    </row>
    <row r="2902" spans="1:8" x14ac:dyDescent="0.25">
      <c r="A2902"/>
      <c r="B2902" s="1"/>
      <c r="C2902" s="2"/>
    </row>
    <row r="2903" spans="1:8" x14ac:dyDescent="0.25">
      <c r="A2903" s="10">
        <v>3398</v>
      </c>
      <c r="B2903" s="1" t="s">
        <v>3592</v>
      </c>
      <c r="C2903" s="2" t="s">
        <v>2675</v>
      </c>
      <c r="D2903" s="1">
        <v>145</v>
      </c>
      <c r="E2903">
        <v>925</v>
      </c>
      <c r="F2903">
        <v>980</v>
      </c>
      <c r="G2903">
        <v>1100</v>
      </c>
      <c r="H2903">
        <v>1850</v>
      </c>
    </row>
    <row r="2904" spans="1:8" x14ac:dyDescent="0.25">
      <c r="A2904" s="10">
        <v>3399</v>
      </c>
      <c r="B2904" s="1" t="s">
        <v>3592</v>
      </c>
      <c r="C2904" s="2" t="s">
        <v>2648</v>
      </c>
      <c r="D2904" s="1">
        <v>145</v>
      </c>
      <c r="E2904">
        <v>925</v>
      </c>
      <c r="F2904">
        <v>980</v>
      </c>
      <c r="G2904">
        <v>1100</v>
      </c>
      <c r="H2904">
        <v>1850</v>
      </c>
    </row>
    <row r="2905" spans="1:8" x14ac:dyDescent="0.25">
      <c r="A2905" s="10">
        <v>3400</v>
      </c>
      <c r="B2905" s="1" t="s">
        <v>3592</v>
      </c>
      <c r="C2905" s="2" t="s">
        <v>2649</v>
      </c>
      <c r="D2905" s="1">
        <v>145</v>
      </c>
      <c r="E2905">
        <v>925</v>
      </c>
      <c r="F2905">
        <v>980</v>
      </c>
      <c r="G2905">
        <v>1100</v>
      </c>
      <c r="H2905">
        <v>1850</v>
      </c>
    </row>
    <row r="2906" spans="1:8" x14ac:dyDescent="0.25">
      <c r="A2906" s="10">
        <v>3401</v>
      </c>
      <c r="B2906" s="1" t="s">
        <v>3592</v>
      </c>
      <c r="C2906" s="2" t="s">
        <v>2650</v>
      </c>
      <c r="D2906" s="1">
        <v>145</v>
      </c>
      <c r="E2906">
        <v>925</v>
      </c>
      <c r="F2906">
        <v>980</v>
      </c>
      <c r="G2906">
        <v>1100</v>
      </c>
      <c r="H2906">
        <v>1850</v>
      </c>
    </row>
    <row r="2907" spans="1:8" x14ac:dyDescent="0.25">
      <c r="A2907" s="10">
        <v>3402</v>
      </c>
      <c r="B2907" s="1" t="s">
        <v>3592</v>
      </c>
      <c r="C2907" s="2" t="s">
        <v>2651</v>
      </c>
      <c r="D2907" s="1">
        <v>145</v>
      </c>
      <c r="E2907">
        <v>925</v>
      </c>
      <c r="F2907">
        <v>980</v>
      </c>
      <c r="G2907">
        <v>1100</v>
      </c>
      <c r="H2907">
        <v>1850</v>
      </c>
    </row>
    <row r="2908" spans="1:8" x14ac:dyDescent="0.25">
      <c r="A2908" s="10">
        <v>3403</v>
      </c>
      <c r="B2908" s="1" t="s">
        <v>3592</v>
      </c>
      <c r="C2908" s="2" t="s">
        <v>2652</v>
      </c>
      <c r="D2908" s="1">
        <v>145</v>
      </c>
      <c r="E2908">
        <v>925</v>
      </c>
      <c r="F2908">
        <v>980</v>
      </c>
      <c r="G2908">
        <v>1100</v>
      </c>
      <c r="H2908">
        <v>1850</v>
      </c>
    </row>
    <row r="2909" spans="1:8" x14ac:dyDescent="0.25">
      <c r="A2909" s="10">
        <v>3404</v>
      </c>
      <c r="B2909" s="1" t="s">
        <v>3592</v>
      </c>
      <c r="C2909" s="2" t="s">
        <v>2653</v>
      </c>
      <c r="D2909" s="1">
        <v>145</v>
      </c>
      <c r="E2909">
        <v>925</v>
      </c>
      <c r="F2909">
        <v>980</v>
      </c>
      <c r="G2909">
        <v>1100</v>
      </c>
      <c r="H2909">
        <v>1850</v>
      </c>
    </row>
    <row r="2910" spans="1:8" x14ac:dyDescent="0.25">
      <c r="A2910" s="10">
        <v>3405</v>
      </c>
      <c r="B2910" s="1" t="s">
        <v>3592</v>
      </c>
      <c r="C2910" s="2" t="s">
        <v>2654</v>
      </c>
      <c r="D2910" s="1">
        <v>145</v>
      </c>
      <c r="E2910">
        <v>925</v>
      </c>
      <c r="F2910">
        <v>980</v>
      </c>
      <c r="G2910">
        <v>1100</v>
      </c>
      <c r="H2910">
        <v>1850</v>
      </c>
    </row>
    <row r="2911" spans="1:8" x14ac:dyDescent="0.25">
      <c r="A2911" s="10">
        <v>3406</v>
      </c>
      <c r="B2911" s="1" t="s">
        <v>3592</v>
      </c>
      <c r="C2911" s="2" t="s">
        <v>2655</v>
      </c>
      <c r="D2911" s="1">
        <v>145</v>
      </c>
      <c r="E2911">
        <v>925</v>
      </c>
      <c r="F2911">
        <v>980</v>
      </c>
      <c r="G2911">
        <v>1100</v>
      </c>
      <c r="H2911">
        <v>1850</v>
      </c>
    </row>
    <row r="2912" spans="1:8" x14ac:dyDescent="0.25">
      <c r="A2912" s="10">
        <v>3407</v>
      </c>
      <c r="B2912" s="1" t="s">
        <v>3592</v>
      </c>
      <c r="C2912" s="2" t="s">
        <v>2680</v>
      </c>
      <c r="D2912" s="1">
        <v>145</v>
      </c>
      <c r="E2912">
        <v>925</v>
      </c>
      <c r="F2912">
        <v>980</v>
      </c>
      <c r="G2912">
        <v>1100</v>
      </c>
      <c r="H2912">
        <v>1850</v>
      </c>
    </row>
    <row r="2913" spans="1:8" x14ac:dyDescent="0.25">
      <c r="A2913" s="10">
        <v>3408</v>
      </c>
      <c r="B2913" s="1" t="s">
        <v>3592</v>
      </c>
      <c r="C2913" s="2" t="s">
        <v>2682</v>
      </c>
      <c r="D2913" s="1">
        <v>145</v>
      </c>
      <c r="E2913">
        <v>925</v>
      </c>
      <c r="F2913">
        <v>980</v>
      </c>
      <c r="G2913">
        <v>1100</v>
      </c>
      <c r="H2913">
        <v>1850</v>
      </c>
    </row>
    <row r="2914" spans="1:8" x14ac:dyDescent="0.25">
      <c r="A2914"/>
      <c r="B2914" s="1"/>
      <c r="C2914" s="2"/>
    </row>
    <row r="2915" spans="1:8" x14ac:dyDescent="0.25">
      <c r="A2915" s="10">
        <v>3409</v>
      </c>
      <c r="B2915" s="1" t="s">
        <v>3592</v>
      </c>
      <c r="C2915" s="2" t="s">
        <v>2673</v>
      </c>
      <c r="D2915" s="1">
        <v>145</v>
      </c>
      <c r="E2915">
        <v>1780</v>
      </c>
      <c r="F2915">
        <v>1850</v>
      </c>
      <c r="G2915">
        <v>2000</v>
      </c>
      <c r="H2915">
        <v>2740</v>
      </c>
    </row>
    <row r="2916" spans="1:8" x14ac:dyDescent="0.25">
      <c r="A2916" s="10">
        <v>3410</v>
      </c>
      <c r="B2916" s="1" t="s">
        <v>3592</v>
      </c>
      <c r="C2916" s="2" t="s">
        <v>2656</v>
      </c>
      <c r="D2916" s="1">
        <v>145</v>
      </c>
      <c r="E2916">
        <v>1780</v>
      </c>
      <c r="F2916">
        <v>1850</v>
      </c>
      <c r="G2916">
        <v>2000</v>
      </c>
      <c r="H2916">
        <v>2740</v>
      </c>
    </row>
    <row r="2917" spans="1:8" x14ac:dyDescent="0.25">
      <c r="A2917" s="10">
        <v>3411</v>
      </c>
      <c r="B2917" s="1" t="s">
        <v>3592</v>
      </c>
      <c r="C2917" s="2" t="s">
        <v>2657</v>
      </c>
      <c r="D2917" s="1">
        <v>145</v>
      </c>
      <c r="E2917">
        <v>1780</v>
      </c>
      <c r="F2917">
        <v>1850</v>
      </c>
      <c r="G2917">
        <v>2000</v>
      </c>
      <c r="H2917">
        <v>2740</v>
      </c>
    </row>
    <row r="2918" spans="1:8" x14ac:dyDescent="0.25">
      <c r="A2918" s="10">
        <v>3412</v>
      </c>
      <c r="B2918" s="1" t="s">
        <v>3592</v>
      </c>
      <c r="C2918" s="2" t="s">
        <v>2658</v>
      </c>
      <c r="D2918" s="1">
        <v>145</v>
      </c>
      <c r="E2918">
        <v>1780</v>
      </c>
      <c r="F2918">
        <v>1850</v>
      </c>
      <c r="G2918">
        <v>2000</v>
      </c>
      <c r="H2918">
        <v>2740</v>
      </c>
    </row>
    <row r="2919" spans="1:8" x14ac:dyDescent="0.25">
      <c r="A2919" s="10">
        <v>3413</v>
      </c>
      <c r="B2919" s="1" t="s">
        <v>3592</v>
      </c>
      <c r="C2919" s="2" t="s">
        <v>2659</v>
      </c>
      <c r="D2919" s="1">
        <v>145</v>
      </c>
      <c r="E2919">
        <v>1780</v>
      </c>
      <c r="F2919">
        <v>1850</v>
      </c>
      <c r="G2919">
        <v>2000</v>
      </c>
      <c r="H2919">
        <v>2740</v>
      </c>
    </row>
    <row r="2920" spans="1:8" x14ac:dyDescent="0.25">
      <c r="A2920" s="10">
        <v>3414</v>
      </c>
      <c r="B2920" s="1" t="s">
        <v>3592</v>
      </c>
      <c r="C2920" s="2" t="s">
        <v>2660</v>
      </c>
      <c r="D2920" s="1">
        <v>145</v>
      </c>
      <c r="E2920">
        <v>1780</v>
      </c>
      <c r="F2920">
        <v>1850</v>
      </c>
      <c r="G2920">
        <v>2000</v>
      </c>
      <c r="H2920">
        <v>2740</v>
      </c>
    </row>
    <row r="2921" spans="1:8" x14ac:dyDescent="0.25">
      <c r="A2921" s="10">
        <v>3415</v>
      </c>
      <c r="B2921" s="1" t="s">
        <v>3592</v>
      </c>
      <c r="C2921" s="2" t="s">
        <v>2661</v>
      </c>
      <c r="D2921" s="1">
        <v>145</v>
      </c>
      <c r="E2921">
        <v>1780</v>
      </c>
      <c r="F2921">
        <v>1850</v>
      </c>
      <c r="G2921">
        <v>2000</v>
      </c>
      <c r="H2921">
        <v>2740</v>
      </c>
    </row>
    <row r="2922" spans="1:8" x14ac:dyDescent="0.25">
      <c r="A2922" s="10">
        <v>3416</v>
      </c>
      <c r="B2922" s="1" t="s">
        <v>3592</v>
      </c>
      <c r="C2922" s="2" t="s">
        <v>2662</v>
      </c>
      <c r="D2922" s="1">
        <v>145</v>
      </c>
      <c r="E2922">
        <v>1780</v>
      </c>
      <c r="F2922">
        <v>1850</v>
      </c>
      <c r="G2922">
        <v>2000</v>
      </c>
      <c r="H2922">
        <v>2740</v>
      </c>
    </row>
    <row r="2923" spans="1:8" x14ac:dyDescent="0.25">
      <c r="A2923" s="10">
        <v>3417</v>
      </c>
      <c r="B2923" s="1" t="s">
        <v>3592</v>
      </c>
      <c r="C2923" s="2" t="s">
        <v>2663</v>
      </c>
      <c r="D2923" s="1">
        <v>145</v>
      </c>
      <c r="E2923">
        <v>1780</v>
      </c>
      <c r="F2923">
        <v>1850</v>
      </c>
      <c r="G2923">
        <v>2000</v>
      </c>
      <c r="H2923">
        <v>2740</v>
      </c>
    </row>
    <row r="2924" spans="1:8" x14ac:dyDescent="0.25">
      <c r="A2924" s="10">
        <v>3418</v>
      </c>
      <c r="B2924" s="1" t="s">
        <v>3592</v>
      </c>
      <c r="C2924" s="2" t="s">
        <v>2679</v>
      </c>
      <c r="D2924" s="1">
        <v>145</v>
      </c>
      <c r="E2924">
        <v>1780</v>
      </c>
      <c r="F2924">
        <v>1850</v>
      </c>
      <c r="G2924">
        <v>2000</v>
      </c>
      <c r="H2924">
        <v>3690</v>
      </c>
    </row>
    <row r="2925" spans="1:8" x14ac:dyDescent="0.25">
      <c r="A2925" s="10">
        <v>3419</v>
      </c>
      <c r="B2925" s="1" t="s">
        <v>3592</v>
      </c>
      <c r="C2925" s="2" t="s">
        <v>2681</v>
      </c>
      <c r="D2925" s="1">
        <v>145</v>
      </c>
      <c r="E2925">
        <v>1780</v>
      </c>
      <c r="F2925">
        <v>1850</v>
      </c>
      <c r="G2925">
        <v>2000</v>
      </c>
      <c r="H2925">
        <v>3230</v>
      </c>
    </row>
    <row r="2926" spans="1:8" x14ac:dyDescent="0.25">
      <c r="A2926"/>
      <c r="B2926" s="1"/>
      <c r="C2926" s="2"/>
    </row>
    <row r="2927" spans="1:8" x14ac:dyDescent="0.25">
      <c r="A2927" s="10">
        <v>3420</v>
      </c>
      <c r="B2927" s="1" t="s">
        <v>3592</v>
      </c>
      <c r="C2927" s="2" t="s">
        <v>2674</v>
      </c>
      <c r="D2927" s="1">
        <v>145</v>
      </c>
      <c r="E2927">
        <v>5527</v>
      </c>
      <c r="F2927">
        <v>6500</v>
      </c>
      <c r="G2927">
        <v>6800</v>
      </c>
      <c r="H2927">
        <v>9800</v>
      </c>
    </row>
    <row r="2928" spans="1:8" x14ac:dyDescent="0.25">
      <c r="A2928" s="10">
        <v>3421</v>
      </c>
      <c r="B2928" s="1" t="s">
        <v>3592</v>
      </c>
      <c r="C2928" s="2" t="s">
        <v>2664</v>
      </c>
      <c r="D2928" s="1">
        <v>145</v>
      </c>
      <c r="E2928">
        <v>6330</v>
      </c>
      <c r="F2928">
        <v>6500</v>
      </c>
      <c r="G2928">
        <v>6950</v>
      </c>
      <c r="H2928">
        <v>12250</v>
      </c>
    </row>
    <row r="2929" spans="1:8" x14ac:dyDescent="0.25">
      <c r="A2929" s="10">
        <v>3422</v>
      </c>
      <c r="B2929" s="1" t="s">
        <v>3592</v>
      </c>
      <c r="C2929" s="2" t="s">
        <v>2665</v>
      </c>
      <c r="D2929" s="1">
        <v>145</v>
      </c>
      <c r="E2929">
        <v>6330</v>
      </c>
      <c r="F2929">
        <v>6500</v>
      </c>
      <c r="G2929">
        <v>6950</v>
      </c>
      <c r="H2929">
        <v>12250</v>
      </c>
    </row>
    <row r="2930" spans="1:8" x14ac:dyDescent="0.25">
      <c r="A2930" s="10">
        <v>3423</v>
      </c>
      <c r="B2930" s="1" t="s">
        <v>3592</v>
      </c>
      <c r="C2930" s="2" t="s">
        <v>2666</v>
      </c>
      <c r="D2930" s="1">
        <v>145</v>
      </c>
      <c r="E2930">
        <v>6330</v>
      </c>
      <c r="F2930">
        <v>6500</v>
      </c>
      <c r="G2930">
        <v>6950</v>
      </c>
      <c r="H2930">
        <v>12250</v>
      </c>
    </row>
    <row r="2931" spans="1:8" x14ac:dyDescent="0.25">
      <c r="A2931" s="10">
        <v>3424</v>
      </c>
      <c r="B2931" s="1" t="s">
        <v>3592</v>
      </c>
      <c r="C2931" s="2" t="s">
        <v>2667</v>
      </c>
      <c r="D2931" s="1">
        <v>145</v>
      </c>
    </row>
    <row r="2932" spans="1:8" x14ac:dyDescent="0.25">
      <c r="A2932" s="10">
        <v>3425</v>
      </c>
      <c r="B2932" s="1" t="s">
        <v>3592</v>
      </c>
      <c r="C2932" s="2" t="s">
        <v>2668</v>
      </c>
      <c r="D2932" s="1">
        <v>145</v>
      </c>
    </row>
    <row r="2933" spans="1:8" x14ac:dyDescent="0.25">
      <c r="A2933" s="10">
        <v>3426</v>
      </c>
      <c r="B2933" s="1" t="s">
        <v>3592</v>
      </c>
      <c r="C2933" s="2" t="s">
        <v>2669</v>
      </c>
      <c r="D2933" s="1">
        <v>145</v>
      </c>
    </row>
    <row r="2934" spans="1:8" x14ac:dyDescent="0.25">
      <c r="A2934" s="10">
        <v>3427</v>
      </c>
      <c r="B2934" s="1" t="s">
        <v>3592</v>
      </c>
      <c r="C2934" s="2" t="s">
        <v>2670</v>
      </c>
      <c r="D2934" s="1">
        <v>145</v>
      </c>
    </row>
    <row r="2935" spans="1:8" x14ac:dyDescent="0.25">
      <c r="A2935" s="10">
        <v>3428</v>
      </c>
      <c r="B2935" s="1" t="s">
        <v>3592</v>
      </c>
      <c r="C2935" s="2" t="s">
        <v>2671</v>
      </c>
      <c r="D2935" s="1">
        <v>145</v>
      </c>
    </row>
    <row r="2936" spans="1:8" x14ac:dyDescent="0.25">
      <c r="A2936" s="10">
        <v>3429</v>
      </c>
      <c r="B2936" s="1" t="s">
        <v>3592</v>
      </c>
      <c r="C2936" s="2" t="s">
        <v>3000</v>
      </c>
      <c r="D2936" s="1">
        <v>145</v>
      </c>
      <c r="E2936">
        <v>5527</v>
      </c>
      <c r="F2936">
        <v>6500</v>
      </c>
      <c r="G2936">
        <v>6800</v>
      </c>
      <c r="H2936">
        <v>9800</v>
      </c>
    </row>
    <row r="2937" spans="1:8" x14ac:dyDescent="0.25">
      <c r="A2937" s="10">
        <v>3430</v>
      </c>
      <c r="B2937" s="1" t="s">
        <v>3592</v>
      </c>
      <c r="C2937" s="2" t="s">
        <v>3001</v>
      </c>
      <c r="D2937" s="1">
        <v>145</v>
      </c>
      <c r="E2937">
        <v>6074</v>
      </c>
      <c r="F2937">
        <v>6400</v>
      </c>
      <c r="G2937">
        <v>6800</v>
      </c>
      <c r="H2937">
        <v>11750</v>
      </c>
    </row>
    <row r="2938" spans="1:8" x14ac:dyDescent="0.25">
      <c r="A2938"/>
      <c r="B2938" s="1"/>
      <c r="C2938" s="2"/>
    </row>
    <row r="2939" spans="1:8" x14ac:dyDescent="0.25">
      <c r="A2939" s="10">
        <v>3431</v>
      </c>
      <c r="B2939" s="1" t="s">
        <v>2678</v>
      </c>
      <c r="C2939" s="2" t="s">
        <v>2676</v>
      </c>
      <c r="D2939" s="1" t="s">
        <v>3596</v>
      </c>
      <c r="E2939">
        <v>1980</v>
      </c>
      <c r="F2939">
        <v>2100</v>
      </c>
      <c r="G2939">
        <v>2200</v>
      </c>
      <c r="H2939">
        <v>3050</v>
      </c>
    </row>
    <row r="2940" spans="1:8" x14ac:dyDescent="0.25">
      <c r="A2940" s="10">
        <v>3432</v>
      </c>
      <c r="B2940" s="1" t="s">
        <v>2678</v>
      </c>
      <c r="C2940" s="2" t="s">
        <v>2677</v>
      </c>
      <c r="D2940" s="1">
        <v>146</v>
      </c>
      <c r="E2940">
        <v>1140</v>
      </c>
      <c r="F2940">
        <v>1200</v>
      </c>
      <c r="G2940">
        <v>1250</v>
      </c>
      <c r="H2940">
        <v>1750</v>
      </c>
    </row>
    <row r="2941" spans="1:8" x14ac:dyDescent="0.25">
      <c r="A2941" s="10">
        <v>3433</v>
      </c>
      <c r="B2941" s="1" t="s">
        <v>2678</v>
      </c>
      <c r="C2941" s="2" t="s">
        <v>2733</v>
      </c>
      <c r="D2941" s="1">
        <v>146</v>
      </c>
      <c r="E2941">
        <v>480</v>
      </c>
      <c r="F2941">
        <v>550</v>
      </c>
      <c r="G2941">
        <v>600</v>
      </c>
      <c r="H2941">
        <v>800</v>
      </c>
    </row>
    <row r="2942" spans="1:8" x14ac:dyDescent="0.25">
      <c r="A2942"/>
      <c r="B2942" s="1"/>
      <c r="C2942" s="2"/>
    </row>
    <row r="2943" spans="1:8" x14ac:dyDescent="0.25">
      <c r="A2943" s="10">
        <v>3434</v>
      </c>
      <c r="B2943" s="1" t="s">
        <v>2351</v>
      </c>
      <c r="C2943" s="2" t="s">
        <v>2683</v>
      </c>
      <c r="D2943" s="1" t="s">
        <v>3597</v>
      </c>
      <c r="E2943">
        <v>1890</v>
      </c>
      <c r="F2943">
        <v>2100</v>
      </c>
      <c r="G2943">
        <v>2200</v>
      </c>
      <c r="H2943">
        <v>2910</v>
      </c>
    </row>
    <row r="2944" spans="1:8" x14ac:dyDescent="0.25">
      <c r="A2944" s="10">
        <v>3435</v>
      </c>
      <c r="B2944" s="1" t="s">
        <v>2351</v>
      </c>
      <c r="C2944" s="2" t="s">
        <v>2684</v>
      </c>
      <c r="D2944" s="1">
        <v>108</v>
      </c>
      <c r="E2944">
        <v>1365</v>
      </c>
      <c r="F2944">
        <v>1400</v>
      </c>
      <c r="G2944">
        <v>1500</v>
      </c>
      <c r="H2944">
        <v>2100</v>
      </c>
    </row>
    <row r="2945" spans="1:8" x14ac:dyDescent="0.25">
      <c r="A2945" s="10">
        <v>3436</v>
      </c>
      <c r="B2945" s="1" t="s">
        <v>2351</v>
      </c>
      <c r="C2945" s="2" t="s">
        <v>2685</v>
      </c>
      <c r="D2945" s="1">
        <v>108</v>
      </c>
      <c r="E2945">
        <v>1365</v>
      </c>
      <c r="F2945">
        <v>1400</v>
      </c>
      <c r="G2945">
        <v>1500</v>
      </c>
      <c r="H2945">
        <v>2100</v>
      </c>
    </row>
    <row r="2946" spans="1:8" x14ac:dyDescent="0.25">
      <c r="A2946"/>
      <c r="B2946" s="1"/>
      <c r="C2946" s="2"/>
    </row>
    <row r="2947" spans="1:8" x14ac:dyDescent="0.25">
      <c r="A2947" s="10">
        <v>3437</v>
      </c>
      <c r="B2947" s="1" t="s">
        <v>2351</v>
      </c>
      <c r="C2947" s="2" t="s">
        <v>2686</v>
      </c>
      <c r="D2947" s="1">
        <v>108</v>
      </c>
      <c r="E2947">
        <v>875</v>
      </c>
      <c r="F2947">
        <v>900</v>
      </c>
      <c r="G2947">
        <v>1000</v>
      </c>
      <c r="H2947">
        <v>1750</v>
      </c>
    </row>
    <row r="2948" spans="1:8" x14ac:dyDescent="0.25">
      <c r="A2948" s="10">
        <v>3438</v>
      </c>
      <c r="B2948" s="1" t="s">
        <v>2351</v>
      </c>
      <c r="C2948" s="2" t="s">
        <v>2687</v>
      </c>
      <c r="D2948" s="1">
        <v>108</v>
      </c>
    </row>
    <row r="2949" spans="1:8" x14ac:dyDescent="0.25">
      <c r="A2949" s="10">
        <v>3439</v>
      </c>
      <c r="B2949" s="1" t="s">
        <v>2351</v>
      </c>
      <c r="C2949" s="2" t="s">
        <v>2688</v>
      </c>
      <c r="D2949" s="1">
        <v>108</v>
      </c>
    </row>
    <row r="2950" spans="1:8" x14ac:dyDescent="0.25">
      <c r="A2950"/>
      <c r="B2950" s="1"/>
      <c r="C2950" s="2"/>
    </row>
    <row r="2951" spans="1:8" x14ac:dyDescent="0.25">
      <c r="A2951" s="10">
        <v>3440</v>
      </c>
      <c r="B2951" s="1" t="s">
        <v>2351</v>
      </c>
      <c r="C2951" s="2" t="s">
        <v>2689</v>
      </c>
      <c r="D2951" s="1">
        <v>108</v>
      </c>
      <c r="E2951">
        <v>530</v>
      </c>
      <c r="F2951">
        <v>600</v>
      </c>
      <c r="G2951">
        <v>650</v>
      </c>
      <c r="H2951">
        <v>960</v>
      </c>
    </row>
    <row r="2952" spans="1:8" x14ac:dyDescent="0.25">
      <c r="A2952" s="10">
        <v>3441</v>
      </c>
      <c r="B2952" s="1" t="s">
        <v>2351</v>
      </c>
      <c r="C2952" s="2" t="s">
        <v>2691</v>
      </c>
      <c r="D2952" s="1">
        <v>108</v>
      </c>
    </row>
    <row r="2953" spans="1:8" x14ac:dyDescent="0.25">
      <c r="A2953" s="10">
        <v>3442</v>
      </c>
      <c r="B2953" s="1" t="s">
        <v>2351</v>
      </c>
      <c r="C2953" s="2" t="s">
        <v>2690</v>
      </c>
      <c r="D2953" s="1">
        <v>108</v>
      </c>
    </row>
    <row r="2954" spans="1:8" x14ac:dyDescent="0.25">
      <c r="A2954"/>
      <c r="B2954" s="1"/>
      <c r="C2954" s="2"/>
    </row>
    <row r="2955" spans="1:8" x14ac:dyDescent="0.25">
      <c r="A2955" s="10">
        <v>3443</v>
      </c>
      <c r="B2955" s="1" t="s">
        <v>2965</v>
      </c>
      <c r="C2955" s="2" t="s">
        <v>2732</v>
      </c>
      <c r="D2955" s="1" t="s">
        <v>3598</v>
      </c>
      <c r="E2955">
        <v>456</v>
      </c>
      <c r="F2955">
        <v>550</v>
      </c>
      <c r="G2955">
        <v>600</v>
      </c>
      <c r="H2955">
        <v>800</v>
      </c>
    </row>
    <row r="2956" spans="1:8" x14ac:dyDescent="0.25">
      <c r="A2956" s="10">
        <v>3444</v>
      </c>
      <c r="B2956" s="1" t="s">
        <v>2965</v>
      </c>
      <c r="C2956" s="2" t="s">
        <v>2998</v>
      </c>
      <c r="D2956" s="1">
        <v>147</v>
      </c>
    </row>
    <row r="2957" spans="1:8" x14ac:dyDescent="0.25">
      <c r="A2957" s="10">
        <v>3445</v>
      </c>
      <c r="B2957" s="1" t="s">
        <v>2965</v>
      </c>
      <c r="C2957" s="2" t="s">
        <v>2999</v>
      </c>
      <c r="D2957" s="1">
        <v>147</v>
      </c>
    </row>
    <row r="2958" spans="1:8" x14ac:dyDescent="0.25">
      <c r="A2958" s="10">
        <v>3446</v>
      </c>
      <c r="B2958" s="18" t="s">
        <v>2481</v>
      </c>
      <c r="C2958" s="8" t="s">
        <v>3908</v>
      </c>
      <c r="D2958" s="1" t="s">
        <v>2478</v>
      </c>
      <c r="E2958">
        <v>160</v>
      </c>
      <c r="F2958">
        <v>200</v>
      </c>
      <c r="G2958">
        <v>280</v>
      </c>
      <c r="H2958">
        <v>295</v>
      </c>
    </row>
    <row r="2959" spans="1:8" x14ac:dyDescent="0.25">
      <c r="A2959"/>
    </row>
    <row r="2960" spans="1:8" x14ac:dyDescent="0.25">
      <c r="A2960" s="10">
        <v>3447</v>
      </c>
      <c r="B2960" s="3" t="s">
        <v>3686</v>
      </c>
      <c r="C2960" s="2" t="s">
        <v>3660</v>
      </c>
      <c r="D2960" t="s">
        <v>3858</v>
      </c>
      <c r="E2960">
        <v>90</v>
      </c>
      <c r="H2960">
        <v>165</v>
      </c>
    </row>
    <row r="2961" spans="1:8" x14ac:dyDescent="0.25">
      <c r="A2961" s="10">
        <v>3448</v>
      </c>
      <c r="B2961" s="3" t="s">
        <v>3686</v>
      </c>
      <c r="C2961" s="2" t="s">
        <v>3661</v>
      </c>
      <c r="D2961">
        <v>148</v>
      </c>
      <c r="E2961">
        <v>100</v>
      </c>
      <c r="H2961">
        <v>165</v>
      </c>
    </row>
    <row r="2962" spans="1:8" x14ac:dyDescent="0.25">
      <c r="A2962" s="10">
        <v>3449</v>
      </c>
      <c r="B2962" s="3" t="s">
        <v>3686</v>
      </c>
      <c r="C2962" s="2" t="s">
        <v>3662</v>
      </c>
      <c r="D2962">
        <v>148</v>
      </c>
      <c r="E2962">
        <v>100</v>
      </c>
      <c r="H2962">
        <v>165</v>
      </c>
    </row>
    <row r="2963" spans="1:8" x14ac:dyDescent="0.25">
      <c r="A2963" s="10">
        <v>3450</v>
      </c>
      <c r="B2963" s="3" t="s">
        <v>3686</v>
      </c>
      <c r="C2963" s="2" t="s">
        <v>3663</v>
      </c>
      <c r="D2963">
        <v>148</v>
      </c>
      <c r="E2963">
        <v>180</v>
      </c>
      <c r="H2963">
        <v>295</v>
      </c>
    </row>
    <row r="2964" spans="1:8" x14ac:dyDescent="0.25">
      <c r="A2964" s="10">
        <v>3451</v>
      </c>
      <c r="B2964" s="3" t="s">
        <v>3686</v>
      </c>
      <c r="C2964" s="2" t="s">
        <v>3664</v>
      </c>
      <c r="D2964">
        <v>148</v>
      </c>
      <c r="E2964">
        <v>120</v>
      </c>
      <c r="H2964">
        <v>195</v>
      </c>
    </row>
    <row r="2965" spans="1:8" x14ac:dyDescent="0.25">
      <c r="A2965" s="10">
        <v>3452</v>
      </c>
      <c r="B2965" s="3" t="s">
        <v>3686</v>
      </c>
      <c r="C2965" s="2" t="s">
        <v>3665</v>
      </c>
      <c r="D2965">
        <v>148</v>
      </c>
      <c r="E2965">
        <v>150</v>
      </c>
      <c r="H2965">
        <v>295</v>
      </c>
    </row>
    <row r="2966" spans="1:8" x14ac:dyDescent="0.25">
      <c r="A2966" s="10">
        <v>3453</v>
      </c>
      <c r="B2966" s="3" t="s">
        <v>3686</v>
      </c>
      <c r="C2966" s="2" t="s">
        <v>3666</v>
      </c>
      <c r="D2966">
        <v>148</v>
      </c>
      <c r="E2966">
        <v>150</v>
      </c>
      <c r="H2966">
        <v>295</v>
      </c>
    </row>
    <row r="2967" spans="1:8" x14ac:dyDescent="0.25">
      <c r="A2967" s="10">
        <v>3454</v>
      </c>
      <c r="B2967" s="3" t="s">
        <v>3686</v>
      </c>
      <c r="C2967" s="2" t="s">
        <v>3667</v>
      </c>
      <c r="D2967">
        <v>148</v>
      </c>
      <c r="E2967">
        <v>220</v>
      </c>
      <c r="H2967">
        <v>365</v>
      </c>
    </row>
    <row r="2968" spans="1:8" x14ac:dyDescent="0.25">
      <c r="A2968" s="10">
        <v>3455</v>
      </c>
      <c r="B2968" s="3" t="s">
        <v>3686</v>
      </c>
      <c r="C2968" s="2" t="s">
        <v>3668</v>
      </c>
      <c r="D2968">
        <v>148</v>
      </c>
    </row>
    <row r="2969" spans="1:8" x14ac:dyDescent="0.25">
      <c r="A2969" s="10">
        <v>3456</v>
      </c>
      <c r="B2969" s="3" t="s">
        <v>3686</v>
      </c>
      <c r="C2969" s="2" t="s">
        <v>3669</v>
      </c>
      <c r="D2969">
        <v>148</v>
      </c>
    </row>
    <row r="2970" spans="1:8" x14ac:dyDescent="0.25">
      <c r="A2970" s="10">
        <v>3457</v>
      </c>
      <c r="B2970" s="3" t="s">
        <v>3686</v>
      </c>
      <c r="C2970" s="2" t="s">
        <v>3672</v>
      </c>
      <c r="D2970">
        <v>148</v>
      </c>
      <c r="E2970">
        <v>100</v>
      </c>
      <c r="H2970">
        <v>295</v>
      </c>
    </row>
    <row r="2971" spans="1:8" x14ac:dyDescent="0.25">
      <c r="A2971" s="10">
        <v>3458</v>
      </c>
      <c r="B2971" s="3" t="s">
        <v>3686</v>
      </c>
      <c r="C2971" s="2" t="s">
        <v>3670</v>
      </c>
      <c r="D2971">
        <v>148</v>
      </c>
      <c r="E2971">
        <v>280</v>
      </c>
      <c r="H2971">
        <v>495</v>
      </c>
    </row>
    <row r="2972" spans="1:8" x14ac:dyDescent="0.25">
      <c r="A2972" s="10">
        <v>3459</v>
      </c>
      <c r="B2972" s="3" t="s">
        <v>3686</v>
      </c>
      <c r="C2972" s="2" t="s">
        <v>3671</v>
      </c>
      <c r="D2972">
        <v>148</v>
      </c>
      <c r="E2972">
        <v>280</v>
      </c>
      <c r="H2972">
        <v>495</v>
      </c>
    </row>
    <row r="2973" spans="1:8" x14ac:dyDescent="0.25">
      <c r="A2973" s="10">
        <v>3460</v>
      </c>
      <c r="B2973" s="3" t="s">
        <v>3686</v>
      </c>
      <c r="C2973" s="2" t="s">
        <v>3673</v>
      </c>
      <c r="D2973">
        <v>148</v>
      </c>
    </row>
    <row r="2974" spans="1:8" x14ac:dyDescent="0.25">
      <c r="A2974" s="10">
        <v>3461</v>
      </c>
      <c r="B2974" s="3" t="s">
        <v>3686</v>
      </c>
      <c r="C2974" s="2" t="s">
        <v>3674</v>
      </c>
      <c r="D2974">
        <v>148</v>
      </c>
    </row>
    <row r="2975" spans="1:8" x14ac:dyDescent="0.25">
      <c r="A2975" s="10">
        <v>3462</v>
      </c>
      <c r="B2975" s="3" t="s">
        <v>3686</v>
      </c>
      <c r="C2975" s="2" t="s">
        <v>3675</v>
      </c>
      <c r="D2975">
        <v>148</v>
      </c>
    </row>
    <row r="2976" spans="1:8" x14ac:dyDescent="0.25">
      <c r="A2976" s="10">
        <v>3463</v>
      </c>
      <c r="B2976" s="3" t="s">
        <v>3686</v>
      </c>
      <c r="C2976" s="2" t="s">
        <v>3676</v>
      </c>
      <c r="D2976">
        <v>148</v>
      </c>
    </row>
    <row r="2977" spans="1:8" x14ac:dyDescent="0.25">
      <c r="A2977" s="10">
        <v>3464</v>
      </c>
      <c r="B2977" s="3" t="s">
        <v>3686</v>
      </c>
      <c r="C2977" s="2" t="s">
        <v>3677</v>
      </c>
      <c r="D2977">
        <v>148</v>
      </c>
    </row>
    <row r="2978" spans="1:8" x14ac:dyDescent="0.25">
      <c r="A2978" s="10">
        <v>3465</v>
      </c>
      <c r="B2978" s="3" t="s">
        <v>3686</v>
      </c>
      <c r="C2978" s="2" t="s">
        <v>3678</v>
      </c>
      <c r="D2978">
        <v>148</v>
      </c>
    </row>
    <row r="2979" spans="1:8" x14ac:dyDescent="0.25">
      <c r="A2979" s="10">
        <v>3466</v>
      </c>
      <c r="B2979" s="3" t="s">
        <v>3686</v>
      </c>
      <c r="C2979" s="2" t="s">
        <v>3679</v>
      </c>
      <c r="D2979">
        <v>148</v>
      </c>
    </row>
    <row r="2980" spans="1:8" x14ac:dyDescent="0.25">
      <c r="A2980" s="10">
        <v>3467</v>
      </c>
      <c r="B2980" s="3" t="s">
        <v>3686</v>
      </c>
      <c r="C2980" s="2" t="s">
        <v>3680</v>
      </c>
      <c r="D2980">
        <v>148</v>
      </c>
    </row>
    <row r="2981" spans="1:8" x14ac:dyDescent="0.25">
      <c r="A2981" s="10">
        <v>3468</v>
      </c>
      <c r="B2981" s="3" t="s">
        <v>3686</v>
      </c>
      <c r="C2981" s="2" t="s">
        <v>3681</v>
      </c>
      <c r="D2981">
        <v>148</v>
      </c>
    </row>
    <row r="2982" spans="1:8" x14ac:dyDescent="0.25">
      <c r="A2982" s="10">
        <v>3469</v>
      </c>
      <c r="B2982" s="3" t="s">
        <v>3686</v>
      </c>
      <c r="C2982" s="2" t="s">
        <v>3682</v>
      </c>
      <c r="D2982">
        <v>148</v>
      </c>
    </row>
    <row r="2983" spans="1:8" x14ac:dyDescent="0.25">
      <c r="A2983" s="10">
        <v>3470</v>
      </c>
      <c r="B2983" s="3" t="s">
        <v>3686</v>
      </c>
      <c r="C2983" s="2" t="s">
        <v>3683</v>
      </c>
      <c r="D2983">
        <v>148</v>
      </c>
    </row>
    <row r="2984" spans="1:8" x14ac:dyDescent="0.25">
      <c r="A2984" s="10">
        <v>3471</v>
      </c>
      <c r="B2984" s="3" t="s">
        <v>3686</v>
      </c>
      <c r="C2984" s="2" t="s">
        <v>3684</v>
      </c>
      <c r="D2984">
        <v>148</v>
      </c>
    </row>
    <row r="2985" spans="1:8" x14ac:dyDescent="0.25">
      <c r="A2985" s="10">
        <v>3472</v>
      </c>
      <c r="B2985" s="3" t="s">
        <v>3686</v>
      </c>
      <c r="C2985" s="2" t="s">
        <v>3685</v>
      </c>
      <c r="D2985">
        <v>148</v>
      </c>
    </row>
    <row r="2986" spans="1:8" x14ac:dyDescent="0.25">
      <c r="A2986" s="10">
        <v>3473</v>
      </c>
      <c r="B2986" s="3" t="s">
        <v>3686</v>
      </c>
      <c r="C2986" s="2" t="s">
        <v>3687</v>
      </c>
      <c r="D2986">
        <v>148</v>
      </c>
    </row>
    <row r="2987" spans="1:8" x14ac:dyDescent="0.25">
      <c r="A2987" s="10">
        <v>3474</v>
      </c>
      <c r="B2987" s="3" t="s">
        <v>3686</v>
      </c>
      <c r="C2987" s="2" t="s">
        <v>3688</v>
      </c>
      <c r="D2987">
        <v>148</v>
      </c>
    </row>
    <row r="2988" spans="1:8" x14ac:dyDescent="0.25">
      <c r="A2988" s="10">
        <v>3475</v>
      </c>
      <c r="B2988" s="3" t="s">
        <v>3686</v>
      </c>
      <c r="C2988" s="2" t="s">
        <v>3689</v>
      </c>
      <c r="D2988">
        <v>148</v>
      </c>
      <c r="E2988">
        <v>185</v>
      </c>
      <c r="H2988">
        <v>310</v>
      </c>
    </row>
    <row r="2989" spans="1:8" x14ac:dyDescent="0.25">
      <c r="A2989" s="10">
        <v>3476</v>
      </c>
      <c r="B2989" s="3" t="s">
        <v>3686</v>
      </c>
      <c r="C2989" s="2" t="s">
        <v>3690</v>
      </c>
      <c r="D2989">
        <v>148</v>
      </c>
    </row>
    <row r="2990" spans="1:8" x14ac:dyDescent="0.25">
      <c r="A2990" s="10">
        <v>3477</v>
      </c>
      <c r="B2990" s="3" t="s">
        <v>3686</v>
      </c>
      <c r="C2990" s="2" t="s">
        <v>3691</v>
      </c>
      <c r="D2990">
        <v>148</v>
      </c>
      <c r="E2990">
        <v>235</v>
      </c>
      <c r="H2990">
        <v>395</v>
      </c>
    </row>
    <row r="2991" spans="1:8" x14ac:dyDescent="0.25">
      <c r="A2991" s="10">
        <v>3478</v>
      </c>
      <c r="B2991" s="3" t="s">
        <v>3686</v>
      </c>
      <c r="C2991" s="2" t="s">
        <v>3693</v>
      </c>
      <c r="D2991">
        <v>148</v>
      </c>
    </row>
    <row r="2992" spans="1:8" x14ac:dyDescent="0.25">
      <c r="A2992" s="10">
        <v>3479</v>
      </c>
      <c r="B2992" s="3" t="s">
        <v>3686</v>
      </c>
      <c r="C2992" s="2" t="s">
        <v>3692</v>
      </c>
      <c r="D2992">
        <v>148</v>
      </c>
      <c r="E2992">
        <v>265</v>
      </c>
      <c r="H2992">
        <v>395</v>
      </c>
    </row>
    <row r="2993" spans="1:8" x14ac:dyDescent="0.25">
      <c r="A2993" s="10">
        <v>3480</v>
      </c>
      <c r="B2993" s="3" t="s">
        <v>3686</v>
      </c>
      <c r="C2993" s="2" t="s">
        <v>3694</v>
      </c>
      <c r="D2993">
        <v>148</v>
      </c>
    </row>
    <row r="2995" spans="1:8" x14ac:dyDescent="0.25">
      <c r="A2995" s="10">
        <v>3481</v>
      </c>
      <c r="B2995" s="3" t="s">
        <v>3734</v>
      </c>
      <c r="C2995" s="2" t="s">
        <v>3576</v>
      </c>
      <c r="D2995" s="1" t="s">
        <v>3859</v>
      </c>
      <c r="E2995">
        <v>860</v>
      </c>
      <c r="F2995">
        <f>SUM(E2995+100)</f>
        <v>960</v>
      </c>
      <c r="G2995">
        <v>1250</v>
      </c>
      <c r="H2995">
        <v>1275</v>
      </c>
    </row>
    <row r="2996" spans="1:8" x14ac:dyDescent="0.25">
      <c r="A2996" s="10">
        <v>3482</v>
      </c>
      <c r="B2996" s="3" t="s">
        <v>3734</v>
      </c>
      <c r="C2996" s="2" t="s">
        <v>3577</v>
      </c>
      <c r="D2996" s="1">
        <v>149</v>
      </c>
      <c r="E2996">
        <v>704</v>
      </c>
      <c r="F2996">
        <f t="shared" ref="F2996:F3008" si="71">SUM(E2996+100)</f>
        <v>804</v>
      </c>
      <c r="G2996">
        <v>980</v>
      </c>
      <c r="H2996">
        <v>995</v>
      </c>
    </row>
    <row r="2997" spans="1:8" x14ac:dyDescent="0.25">
      <c r="A2997" s="10">
        <v>3483</v>
      </c>
      <c r="B2997" s="3" t="s">
        <v>3734</v>
      </c>
      <c r="C2997" s="2" t="s">
        <v>3578</v>
      </c>
      <c r="D2997" s="1">
        <v>149</v>
      </c>
      <c r="E2997">
        <v>756</v>
      </c>
      <c r="F2997">
        <f t="shared" si="71"/>
        <v>856</v>
      </c>
      <c r="G2997">
        <v>980</v>
      </c>
      <c r="H2997">
        <v>995</v>
      </c>
    </row>
    <row r="2998" spans="1:8" x14ac:dyDescent="0.25">
      <c r="A2998" s="10">
        <v>3484</v>
      </c>
      <c r="B2998" s="3" t="s">
        <v>3734</v>
      </c>
      <c r="C2998" s="2" t="s">
        <v>3579</v>
      </c>
      <c r="D2998" s="1">
        <v>149</v>
      </c>
      <c r="E2998">
        <v>720</v>
      </c>
      <c r="F2998">
        <f t="shared" si="71"/>
        <v>820</v>
      </c>
      <c r="G2998">
        <v>980</v>
      </c>
      <c r="H2998">
        <v>995</v>
      </c>
    </row>
    <row r="2999" spans="1:8" x14ac:dyDescent="0.25">
      <c r="A2999"/>
      <c r="B2999" s="3"/>
      <c r="C2999" s="2"/>
    </row>
    <row r="3000" spans="1:8" x14ac:dyDescent="0.25">
      <c r="A3000" s="10">
        <v>3485</v>
      </c>
      <c r="B3000" s="3" t="s">
        <v>3734</v>
      </c>
      <c r="C3000" s="2" t="s">
        <v>3582</v>
      </c>
      <c r="D3000" s="1">
        <v>149</v>
      </c>
      <c r="E3000">
        <v>944</v>
      </c>
      <c r="F3000">
        <f t="shared" si="71"/>
        <v>1044</v>
      </c>
      <c r="G3000">
        <v>1250</v>
      </c>
      <c r="H3000">
        <v>1275</v>
      </c>
    </row>
    <row r="3001" spans="1:8" x14ac:dyDescent="0.25">
      <c r="A3001" s="10">
        <v>3486</v>
      </c>
      <c r="B3001" s="3" t="s">
        <v>3734</v>
      </c>
      <c r="C3001" s="2" t="s">
        <v>3583</v>
      </c>
      <c r="D3001" s="1">
        <v>149</v>
      </c>
      <c r="E3001">
        <v>700</v>
      </c>
      <c r="F3001">
        <f t="shared" si="71"/>
        <v>800</v>
      </c>
      <c r="G3001">
        <v>950</v>
      </c>
      <c r="H3001">
        <v>975</v>
      </c>
    </row>
    <row r="3002" spans="1:8" x14ac:dyDescent="0.25">
      <c r="A3002" s="10">
        <v>3487</v>
      </c>
      <c r="B3002" s="3" t="s">
        <v>3734</v>
      </c>
      <c r="C3002" s="2" t="s">
        <v>3580</v>
      </c>
      <c r="D3002" s="1">
        <v>149</v>
      </c>
    </row>
    <row r="3003" spans="1:8" x14ac:dyDescent="0.25">
      <c r="A3003" s="10">
        <v>3488</v>
      </c>
      <c r="B3003" s="3" t="s">
        <v>3734</v>
      </c>
      <c r="C3003" s="2" t="s">
        <v>3581</v>
      </c>
      <c r="D3003" s="1">
        <v>149</v>
      </c>
    </row>
    <row r="3004" spans="1:8" x14ac:dyDescent="0.25">
      <c r="A3004"/>
      <c r="B3004" s="3"/>
      <c r="C3004" s="2"/>
    </row>
    <row r="3005" spans="1:8" x14ac:dyDescent="0.25">
      <c r="A3005" s="10">
        <v>3489</v>
      </c>
      <c r="B3005" s="3" t="s">
        <v>3734</v>
      </c>
      <c r="C3005" s="2" t="s">
        <v>3584</v>
      </c>
      <c r="D3005" s="1">
        <v>149</v>
      </c>
      <c r="E3005">
        <v>1040</v>
      </c>
      <c r="F3005">
        <f t="shared" si="71"/>
        <v>1140</v>
      </c>
      <c r="G3005">
        <v>1380</v>
      </c>
      <c r="H3005">
        <v>1395</v>
      </c>
    </row>
    <row r="3006" spans="1:8" x14ac:dyDescent="0.25">
      <c r="A3006" s="10">
        <v>3490</v>
      </c>
      <c r="B3006" s="3" t="s">
        <v>3734</v>
      </c>
      <c r="C3006" s="2" t="s">
        <v>3585</v>
      </c>
      <c r="D3006" s="1">
        <v>149</v>
      </c>
      <c r="E3006">
        <v>704</v>
      </c>
      <c r="F3006">
        <f t="shared" si="71"/>
        <v>804</v>
      </c>
      <c r="G3006">
        <v>980</v>
      </c>
      <c r="H3006">
        <v>995</v>
      </c>
    </row>
    <row r="3007" spans="1:8" x14ac:dyDescent="0.25">
      <c r="A3007" s="10">
        <v>3491</v>
      </c>
      <c r="B3007" s="3" t="s">
        <v>3734</v>
      </c>
      <c r="C3007" s="2" t="s">
        <v>3586</v>
      </c>
      <c r="D3007" s="1">
        <v>149</v>
      </c>
      <c r="E3007">
        <v>924</v>
      </c>
      <c r="F3007">
        <f t="shared" si="71"/>
        <v>1024</v>
      </c>
      <c r="G3007">
        <v>1350</v>
      </c>
      <c r="H3007">
        <v>1375</v>
      </c>
    </row>
    <row r="3008" spans="1:8" x14ac:dyDescent="0.25">
      <c r="A3008" s="10">
        <v>3492</v>
      </c>
      <c r="B3008" s="3" t="s">
        <v>3734</v>
      </c>
      <c r="C3008" s="2" t="s">
        <v>3587</v>
      </c>
      <c r="D3008" s="1">
        <v>149</v>
      </c>
      <c r="E3008">
        <v>920</v>
      </c>
      <c r="F3008">
        <f t="shared" si="71"/>
        <v>1020</v>
      </c>
      <c r="G3008">
        <v>1350</v>
      </c>
      <c r="H3008">
        <v>1375</v>
      </c>
    </row>
    <row r="3009" spans="1:8" x14ac:dyDescent="0.25">
      <c r="A3009"/>
      <c r="B3009" s="3"/>
      <c r="C3009" s="2"/>
      <c r="D3009"/>
    </row>
    <row r="3010" spans="1:8" x14ac:dyDescent="0.25">
      <c r="A3010" s="10">
        <v>3493</v>
      </c>
      <c r="B3010" s="3" t="s">
        <v>3734</v>
      </c>
      <c r="C3010" s="2" t="s">
        <v>3603</v>
      </c>
      <c r="D3010" s="1">
        <v>149</v>
      </c>
      <c r="E3010">
        <v>960</v>
      </c>
      <c r="F3010">
        <v>1100</v>
      </c>
      <c r="G3010">
        <v>1350</v>
      </c>
      <c r="H3010">
        <v>1375</v>
      </c>
    </row>
    <row r="3011" spans="1:8" x14ac:dyDescent="0.25">
      <c r="A3011" s="10">
        <v>3494</v>
      </c>
      <c r="B3011" s="3" t="s">
        <v>3734</v>
      </c>
      <c r="C3011" s="2" t="s">
        <v>3599</v>
      </c>
      <c r="D3011" s="1">
        <v>149</v>
      </c>
      <c r="E3011">
        <v>912</v>
      </c>
      <c r="F3011">
        <v>1000</v>
      </c>
      <c r="G3011">
        <v>1250</v>
      </c>
      <c r="H3011">
        <v>1275</v>
      </c>
    </row>
    <row r="3012" spans="1:8" x14ac:dyDescent="0.25">
      <c r="A3012" s="10">
        <v>3495</v>
      </c>
      <c r="B3012" s="3" t="s">
        <v>3734</v>
      </c>
      <c r="C3012" s="2" t="s">
        <v>3600</v>
      </c>
      <c r="D3012" s="1">
        <v>149</v>
      </c>
      <c r="E3012">
        <v>800</v>
      </c>
      <c r="F3012">
        <v>850</v>
      </c>
      <c r="G3012">
        <v>980</v>
      </c>
      <c r="H3012">
        <v>995</v>
      </c>
    </row>
    <row r="3013" spans="1:8" x14ac:dyDescent="0.25">
      <c r="A3013" s="10">
        <v>3496</v>
      </c>
      <c r="B3013" s="3" t="s">
        <v>3734</v>
      </c>
      <c r="C3013" s="2" t="s">
        <v>3601</v>
      </c>
      <c r="D3013" s="1">
        <v>149</v>
      </c>
      <c r="E3013">
        <v>735</v>
      </c>
      <c r="F3013">
        <v>850</v>
      </c>
      <c r="G3013">
        <v>980</v>
      </c>
      <c r="H3013">
        <v>995</v>
      </c>
    </row>
    <row r="3014" spans="1:8" x14ac:dyDescent="0.25">
      <c r="A3014" s="10">
        <v>3497</v>
      </c>
      <c r="B3014" s="3" t="s">
        <v>3734</v>
      </c>
      <c r="C3014" s="2" t="s">
        <v>3602</v>
      </c>
      <c r="D3014" s="1">
        <v>149</v>
      </c>
      <c r="E3014">
        <v>504</v>
      </c>
      <c r="F3014">
        <v>550</v>
      </c>
      <c r="G3014">
        <v>680</v>
      </c>
      <c r="H3014">
        <v>695</v>
      </c>
    </row>
    <row r="3015" spans="1:8" x14ac:dyDescent="0.25">
      <c r="A3015" s="10">
        <v>3498</v>
      </c>
      <c r="B3015" s="3" t="s">
        <v>3734</v>
      </c>
      <c r="C3015" s="2" t="s">
        <v>3604</v>
      </c>
      <c r="D3015" s="1">
        <v>149</v>
      </c>
      <c r="E3015">
        <v>1500</v>
      </c>
      <c r="F3015">
        <v>1700</v>
      </c>
      <c r="G3015">
        <v>1950</v>
      </c>
      <c r="H3015">
        <v>1975</v>
      </c>
    </row>
    <row r="3016" spans="1:8" x14ac:dyDescent="0.25">
      <c r="A3016" s="10">
        <v>3499</v>
      </c>
      <c r="B3016" s="3" t="s">
        <v>3734</v>
      </c>
      <c r="C3016" s="2" t="s">
        <v>3605</v>
      </c>
      <c r="D3016" s="1">
        <v>149</v>
      </c>
      <c r="E3016">
        <v>675</v>
      </c>
      <c r="F3016">
        <v>700</v>
      </c>
      <c r="G3016">
        <v>950</v>
      </c>
      <c r="H3016">
        <v>975</v>
      </c>
    </row>
    <row r="3017" spans="1:8" x14ac:dyDescent="0.25">
      <c r="A3017" s="10">
        <v>3500</v>
      </c>
      <c r="B3017" s="3" t="s">
        <v>3734</v>
      </c>
      <c r="C3017" s="2" t="s">
        <v>3606</v>
      </c>
      <c r="D3017" s="1">
        <v>149</v>
      </c>
      <c r="E3017">
        <v>647</v>
      </c>
      <c r="F3017">
        <v>700</v>
      </c>
      <c r="G3017">
        <v>880</v>
      </c>
      <c r="H3017">
        <v>895</v>
      </c>
    </row>
    <row r="3018" spans="1:8" x14ac:dyDescent="0.25">
      <c r="A3018" s="10">
        <v>3501</v>
      </c>
      <c r="B3018" s="3" t="s">
        <v>3734</v>
      </c>
      <c r="C3018" s="2" t="s">
        <v>3607</v>
      </c>
      <c r="D3018" s="1">
        <v>149</v>
      </c>
      <c r="E3018">
        <v>600</v>
      </c>
      <c r="F3018">
        <v>650</v>
      </c>
      <c r="G3018">
        <v>780</v>
      </c>
      <c r="H3018">
        <v>795</v>
      </c>
    </row>
    <row r="3019" spans="1:8" x14ac:dyDescent="0.25">
      <c r="A3019" s="10">
        <v>3502</v>
      </c>
      <c r="B3019" s="3" t="s">
        <v>3734</v>
      </c>
      <c r="C3019" s="2" t="s">
        <v>3608</v>
      </c>
      <c r="D3019" s="1">
        <v>149</v>
      </c>
      <c r="E3019">
        <v>550</v>
      </c>
      <c r="F3019">
        <v>600</v>
      </c>
      <c r="G3019">
        <v>680</v>
      </c>
      <c r="H3019">
        <v>695</v>
      </c>
    </row>
    <row r="3020" spans="1:8" x14ac:dyDescent="0.25">
      <c r="A3020" s="10">
        <v>3503</v>
      </c>
      <c r="B3020" s="3" t="s">
        <v>3734</v>
      </c>
      <c r="C3020" s="2" t="s">
        <v>3609</v>
      </c>
      <c r="D3020" s="1">
        <v>149</v>
      </c>
      <c r="E3020">
        <v>700</v>
      </c>
      <c r="F3020">
        <v>780</v>
      </c>
      <c r="G3020">
        <v>950</v>
      </c>
      <c r="H3020">
        <v>975</v>
      </c>
    </row>
    <row r="3021" spans="1:8" x14ac:dyDescent="0.25">
      <c r="A3021" s="10">
        <v>3504</v>
      </c>
      <c r="B3021" s="3" t="s">
        <v>3734</v>
      </c>
      <c r="C3021" s="2" t="s">
        <v>3610</v>
      </c>
      <c r="D3021" s="1">
        <v>149</v>
      </c>
    </row>
    <row r="3022" spans="1:8" x14ac:dyDescent="0.25">
      <c r="A3022" s="10">
        <v>3505</v>
      </c>
      <c r="B3022" s="3" t="s">
        <v>3734</v>
      </c>
      <c r="C3022" s="2" t="s">
        <v>3611</v>
      </c>
      <c r="D3022" s="1">
        <v>149</v>
      </c>
    </row>
    <row r="3023" spans="1:8" x14ac:dyDescent="0.25">
      <c r="A3023" s="10">
        <v>3506</v>
      </c>
      <c r="B3023" s="3" t="s">
        <v>3734</v>
      </c>
      <c r="C3023" s="2" t="s">
        <v>3612</v>
      </c>
      <c r="D3023" s="1">
        <v>149</v>
      </c>
    </row>
    <row r="3024" spans="1:8" x14ac:dyDescent="0.25">
      <c r="A3024" s="10">
        <v>3507</v>
      </c>
      <c r="B3024" s="3" t="s">
        <v>3734</v>
      </c>
      <c r="C3024" s="2" t="s">
        <v>3613</v>
      </c>
      <c r="D3024" s="1">
        <v>149</v>
      </c>
      <c r="E3024">
        <v>170</v>
      </c>
      <c r="F3024">
        <v>220</v>
      </c>
      <c r="G3024">
        <v>280</v>
      </c>
      <c r="H3024">
        <v>295</v>
      </c>
    </row>
    <row r="3025" spans="1:8" x14ac:dyDescent="0.25">
      <c r="A3025" s="10">
        <v>3508</v>
      </c>
      <c r="B3025" s="3" t="s">
        <v>3734</v>
      </c>
      <c r="C3025" s="2" t="s">
        <v>3614</v>
      </c>
      <c r="D3025" s="1">
        <v>149</v>
      </c>
      <c r="E3025">
        <v>260</v>
      </c>
      <c r="F3025">
        <v>320</v>
      </c>
      <c r="G3025">
        <v>380</v>
      </c>
      <c r="H3025">
        <v>395</v>
      </c>
    </row>
    <row r="3027" spans="1:8" x14ac:dyDescent="0.25">
      <c r="A3027" s="10">
        <v>3509</v>
      </c>
      <c r="B3027" s="3" t="s">
        <v>3720</v>
      </c>
      <c r="C3027" s="2" t="s">
        <v>3615</v>
      </c>
      <c r="D3027" t="s">
        <v>3860</v>
      </c>
      <c r="E3027">
        <v>1080</v>
      </c>
      <c r="F3027">
        <f>SUM(E3027+100)</f>
        <v>1180</v>
      </c>
      <c r="G3027">
        <v>1550</v>
      </c>
      <c r="H3027">
        <v>1575</v>
      </c>
    </row>
    <row r="3028" spans="1:8" x14ac:dyDescent="0.25">
      <c r="A3028" s="10">
        <v>3510</v>
      </c>
      <c r="B3028" s="3" t="s">
        <v>3719</v>
      </c>
      <c r="C3028" s="2" t="s">
        <v>3616</v>
      </c>
      <c r="D3028">
        <v>150</v>
      </c>
      <c r="E3028">
        <v>1758</v>
      </c>
      <c r="F3028">
        <f t="shared" ref="F3028:F3044" si="72">SUM(E3028+100)</f>
        <v>1858</v>
      </c>
      <c r="G3028">
        <v>1980</v>
      </c>
      <c r="H3028">
        <v>1995</v>
      </c>
    </row>
    <row r="3029" spans="1:8" x14ac:dyDescent="0.25">
      <c r="A3029" s="10">
        <v>3511</v>
      </c>
      <c r="B3029" s="3" t="s">
        <v>3040</v>
      </c>
      <c r="C3029" s="2" t="s">
        <v>3030</v>
      </c>
      <c r="D3029">
        <v>150</v>
      </c>
      <c r="E3029">
        <v>780</v>
      </c>
      <c r="F3029">
        <v>850</v>
      </c>
      <c r="G3029">
        <v>980</v>
      </c>
      <c r="H3029">
        <v>995</v>
      </c>
    </row>
    <row r="3030" spans="1:8" x14ac:dyDescent="0.25">
      <c r="A3030" s="10">
        <v>3512</v>
      </c>
      <c r="B3030" s="3" t="s">
        <v>3040</v>
      </c>
      <c r="C3030" s="2" t="s">
        <v>3029</v>
      </c>
      <c r="D3030">
        <v>150</v>
      </c>
      <c r="E3030">
        <v>1125</v>
      </c>
      <c r="F3030">
        <v>1400</v>
      </c>
      <c r="G3030">
        <v>1700</v>
      </c>
      <c r="H3030">
        <v>1775</v>
      </c>
    </row>
    <row r="3031" spans="1:8" x14ac:dyDescent="0.25">
      <c r="A3031" s="10">
        <v>3513</v>
      </c>
      <c r="B3031" s="3" t="s">
        <v>3040</v>
      </c>
      <c r="C3031" s="2" t="s">
        <v>3617</v>
      </c>
      <c r="D3031">
        <v>150</v>
      </c>
      <c r="E3031">
        <v>540</v>
      </c>
      <c r="F3031">
        <f t="shared" si="72"/>
        <v>640</v>
      </c>
      <c r="G3031">
        <v>880</v>
      </c>
      <c r="H3031">
        <v>895</v>
      </c>
    </row>
    <row r="3032" spans="1:8" x14ac:dyDescent="0.25">
      <c r="A3032" s="10">
        <v>3514</v>
      </c>
      <c r="B3032" s="3" t="s">
        <v>3718</v>
      </c>
      <c r="C3032" s="2" t="s">
        <v>3618</v>
      </c>
      <c r="D3032">
        <v>150</v>
      </c>
      <c r="E3032">
        <v>875</v>
      </c>
      <c r="F3032">
        <f t="shared" si="72"/>
        <v>975</v>
      </c>
      <c r="G3032">
        <v>1350</v>
      </c>
      <c r="H3032">
        <v>1375</v>
      </c>
    </row>
    <row r="3033" spans="1:8" x14ac:dyDescent="0.25">
      <c r="A3033" s="10">
        <v>3515</v>
      </c>
      <c r="B3033" s="3" t="s">
        <v>3718</v>
      </c>
      <c r="C3033" s="2" t="s">
        <v>3624</v>
      </c>
      <c r="D3033">
        <v>150</v>
      </c>
      <c r="E3033">
        <v>533</v>
      </c>
      <c r="F3033">
        <f t="shared" si="72"/>
        <v>633</v>
      </c>
      <c r="G3033">
        <v>850</v>
      </c>
      <c r="H3033">
        <v>875</v>
      </c>
    </row>
    <row r="3034" spans="1:8" x14ac:dyDescent="0.25">
      <c r="A3034" s="10">
        <v>3516</v>
      </c>
      <c r="B3034" s="3" t="s">
        <v>3718</v>
      </c>
      <c r="C3034" s="2" t="s">
        <v>3629</v>
      </c>
      <c r="D3034">
        <v>150</v>
      </c>
      <c r="E3034">
        <v>480</v>
      </c>
      <c r="F3034">
        <f t="shared" si="72"/>
        <v>580</v>
      </c>
      <c r="G3034">
        <v>950</v>
      </c>
      <c r="H3034">
        <v>975</v>
      </c>
    </row>
    <row r="3035" spans="1:8" x14ac:dyDescent="0.25">
      <c r="A3035" s="10">
        <v>3517</v>
      </c>
      <c r="B3035" s="3" t="s">
        <v>3718</v>
      </c>
      <c r="C3035" s="2" t="s">
        <v>3619</v>
      </c>
      <c r="D3035">
        <v>150</v>
      </c>
      <c r="E3035">
        <v>675</v>
      </c>
      <c r="F3035">
        <f t="shared" si="72"/>
        <v>775</v>
      </c>
      <c r="G3035">
        <v>1250</v>
      </c>
      <c r="H3035">
        <v>1275</v>
      </c>
    </row>
    <row r="3036" spans="1:8" x14ac:dyDescent="0.25">
      <c r="A3036" s="10">
        <v>3518</v>
      </c>
      <c r="B3036" s="3" t="s">
        <v>3721</v>
      </c>
      <c r="C3036" s="2" t="s">
        <v>3620</v>
      </c>
      <c r="D3036">
        <v>150</v>
      </c>
      <c r="E3036">
        <v>380</v>
      </c>
      <c r="F3036">
        <f t="shared" si="72"/>
        <v>480</v>
      </c>
      <c r="G3036">
        <v>580</v>
      </c>
      <c r="H3036">
        <v>595</v>
      </c>
    </row>
    <row r="3037" spans="1:8" x14ac:dyDescent="0.25">
      <c r="A3037" s="10">
        <v>3519</v>
      </c>
      <c r="B3037" s="3" t="s">
        <v>3721</v>
      </c>
      <c r="C3037" s="2" t="s">
        <v>3621</v>
      </c>
      <c r="D3037">
        <v>150</v>
      </c>
      <c r="E3037">
        <v>384</v>
      </c>
      <c r="F3037">
        <f t="shared" si="72"/>
        <v>484</v>
      </c>
      <c r="G3037">
        <v>580</v>
      </c>
      <c r="H3037">
        <v>595</v>
      </c>
    </row>
    <row r="3038" spans="1:8" x14ac:dyDescent="0.25">
      <c r="A3038" s="10">
        <v>3520</v>
      </c>
      <c r="B3038" s="3" t="s">
        <v>3721</v>
      </c>
      <c r="C3038" s="2" t="s">
        <v>3625</v>
      </c>
      <c r="D3038">
        <v>150</v>
      </c>
      <c r="E3038">
        <v>215</v>
      </c>
      <c r="F3038">
        <f t="shared" si="72"/>
        <v>315</v>
      </c>
      <c r="G3038">
        <v>380</v>
      </c>
      <c r="H3038">
        <v>395</v>
      </c>
    </row>
    <row r="3039" spans="1:8" x14ac:dyDescent="0.25">
      <c r="A3039" s="10">
        <v>3521</v>
      </c>
      <c r="B3039" s="3" t="s">
        <v>3721</v>
      </c>
      <c r="C3039" s="2" t="s">
        <v>3622</v>
      </c>
      <c r="D3039">
        <v>150</v>
      </c>
      <c r="E3039">
        <v>825</v>
      </c>
      <c r="F3039">
        <f t="shared" si="72"/>
        <v>925</v>
      </c>
      <c r="G3039">
        <v>1250</v>
      </c>
      <c r="H3039">
        <v>1275</v>
      </c>
    </row>
    <row r="3040" spans="1:8" x14ac:dyDescent="0.25">
      <c r="A3040" s="10">
        <v>3522</v>
      </c>
      <c r="B3040" s="3" t="s">
        <v>3721</v>
      </c>
      <c r="C3040" s="2" t="s">
        <v>3623</v>
      </c>
      <c r="D3040">
        <v>150</v>
      </c>
      <c r="E3040">
        <v>1075</v>
      </c>
      <c r="F3040">
        <f t="shared" si="72"/>
        <v>1175</v>
      </c>
      <c r="G3040">
        <v>1380</v>
      </c>
      <c r="H3040">
        <v>1395</v>
      </c>
    </row>
    <row r="3041" spans="1:8" x14ac:dyDescent="0.25">
      <c r="A3041" s="10">
        <v>3523</v>
      </c>
      <c r="B3041" s="3" t="s">
        <v>3723</v>
      </c>
      <c r="C3041" s="2" t="s">
        <v>3626</v>
      </c>
      <c r="D3041">
        <v>150</v>
      </c>
      <c r="E3041">
        <v>228</v>
      </c>
      <c r="F3041">
        <f t="shared" si="72"/>
        <v>328</v>
      </c>
      <c r="G3041">
        <v>380</v>
      </c>
      <c r="H3041">
        <v>395</v>
      </c>
    </row>
    <row r="3042" spans="1:8" x14ac:dyDescent="0.25">
      <c r="A3042" s="10">
        <v>3524</v>
      </c>
      <c r="B3042" s="3" t="s">
        <v>3723</v>
      </c>
      <c r="C3042" s="2" t="s">
        <v>3627</v>
      </c>
      <c r="D3042">
        <v>150</v>
      </c>
      <c r="E3042">
        <v>420</v>
      </c>
      <c r="F3042">
        <f t="shared" si="72"/>
        <v>520</v>
      </c>
      <c r="G3042">
        <v>680</v>
      </c>
      <c r="H3042">
        <v>695</v>
      </c>
    </row>
    <row r="3043" spans="1:8" x14ac:dyDescent="0.25">
      <c r="A3043" s="10">
        <v>3525</v>
      </c>
      <c r="B3043" s="3" t="s">
        <v>3723</v>
      </c>
      <c r="C3043" s="2" t="s">
        <v>3628</v>
      </c>
      <c r="D3043">
        <v>150</v>
      </c>
      <c r="E3043">
        <v>630</v>
      </c>
      <c r="F3043">
        <f t="shared" si="72"/>
        <v>730</v>
      </c>
      <c r="G3043">
        <v>950</v>
      </c>
      <c r="H3043">
        <v>975</v>
      </c>
    </row>
    <row r="3044" spans="1:8" x14ac:dyDescent="0.25">
      <c r="A3044" s="10">
        <v>3526</v>
      </c>
      <c r="B3044" s="3" t="s">
        <v>3723</v>
      </c>
      <c r="C3044" s="2" t="s">
        <v>3630</v>
      </c>
      <c r="D3044">
        <v>150</v>
      </c>
      <c r="E3044">
        <v>225</v>
      </c>
      <c r="F3044">
        <f t="shared" si="72"/>
        <v>325</v>
      </c>
      <c r="G3044">
        <v>400</v>
      </c>
      <c r="H3044">
        <v>425</v>
      </c>
    </row>
    <row r="3045" spans="1:8" x14ac:dyDescent="0.25">
      <c r="A3045" s="10">
        <v>3527</v>
      </c>
      <c r="B3045" s="3" t="s">
        <v>3725</v>
      </c>
      <c r="C3045" s="2" t="s">
        <v>3035</v>
      </c>
      <c r="D3045">
        <v>150</v>
      </c>
      <c r="E3045">
        <v>240</v>
      </c>
      <c r="F3045">
        <v>350</v>
      </c>
      <c r="G3045">
        <v>450</v>
      </c>
      <c r="H3045">
        <v>475</v>
      </c>
    </row>
    <row r="3046" spans="1:8" x14ac:dyDescent="0.25">
      <c r="A3046" s="10">
        <v>3528</v>
      </c>
      <c r="B3046" s="3" t="s">
        <v>3718</v>
      </c>
      <c r="C3046" s="2" t="s">
        <v>3631</v>
      </c>
      <c r="D3046">
        <v>150</v>
      </c>
      <c r="E3046">
        <v>296</v>
      </c>
      <c r="F3046">
        <v>350</v>
      </c>
      <c r="G3046">
        <v>450</v>
      </c>
      <c r="H3046">
        <v>475</v>
      </c>
    </row>
    <row r="3047" spans="1:8" x14ac:dyDescent="0.25">
      <c r="A3047" s="10">
        <v>3529</v>
      </c>
      <c r="B3047" s="3" t="s">
        <v>3726</v>
      </c>
      <c r="C3047" s="2" t="s">
        <v>3632</v>
      </c>
      <c r="D3047">
        <v>150</v>
      </c>
      <c r="E3047">
        <v>330</v>
      </c>
      <c r="F3047">
        <v>400</v>
      </c>
      <c r="G3047">
        <v>500</v>
      </c>
      <c r="H3047">
        <v>525</v>
      </c>
    </row>
    <row r="3048" spans="1:8" x14ac:dyDescent="0.25">
      <c r="A3048" s="10">
        <v>3530</v>
      </c>
      <c r="B3048" s="3" t="s">
        <v>3719</v>
      </c>
      <c r="C3048" s="2" t="s">
        <v>3633</v>
      </c>
      <c r="D3048">
        <v>150</v>
      </c>
      <c r="E3048">
        <v>750</v>
      </c>
      <c r="F3048">
        <v>850</v>
      </c>
      <c r="G3048">
        <v>950</v>
      </c>
      <c r="H3048">
        <v>975</v>
      </c>
    </row>
    <row r="3049" spans="1:8" x14ac:dyDescent="0.25">
      <c r="A3049" s="10">
        <v>3531</v>
      </c>
      <c r="B3049" s="3" t="s">
        <v>3722</v>
      </c>
      <c r="C3049" s="2" t="s">
        <v>3634</v>
      </c>
      <c r="D3049">
        <v>150</v>
      </c>
      <c r="E3049">
        <v>236</v>
      </c>
      <c r="F3049">
        <v>290</v>
      </c>
      <c r="G3049">
        <v>350</v>
      </c>
      <c r="H3049">
        <v>365</v>
      </c>
    </row>
    <row r="3050" spans="1:8" x14ac:dyDescent="0.25">
      <c r="A3050" s="10">
        <v>3532</v>
      </c>
      <c r="B3050" s="3" t="s">
        <v>3724</v>
      </c>
      <c r="C3050" s="2" t="s">
        <v>3635</v>
      </c>
      <c r="D3050">
        <v>150</v>
      </c>
      <c r="E3050">
        <v>1387</v>
      </c>
      <c r="F3050">
        <v>1500</v>
      </c>
      <c r="G3050">
        <v>1950</v>
      </c>
      <c r="H3050">
        <v>1975</v>
      </c>
    </row>
    <row r="3051" spans="1:8" x14ac:dyDescent="0.25">
      <c r="A3051" s="10">
        <v>3533</v>
      </c>
      <c r="B3051" s="3" t="s">
        <v>3036</v>
      </c>
      <c r="C3051" s="2" t="s">
        <v>3017</v>
      </c>
      <c r="D3051">
        <v>150</v>
      </c>
      <c r="E3051">
        <v>160</v>
      </c>
      <c r="F3051">
        <v>200</v>
      </c>
      <c r="G3051">
        <v>280</v>
      </c>
      <c r="H3051">
        <v>295</v>
      </c>
    </row>
    <row r="3052" spans="1:8" x14ac:dyDescent="0.25">
      <c r="A3052" s="10">
        <v>3534</v>
      </c>
      <c r="B3052" s="3" t="s">
        <v>3036</v>
      </c>
      <c r="C3052" s="2" t="s">
        <v>3636</v>
      </c>
      <c r="D3052">
        <v>150</v>
      </c>
      <c r="E3052">
        <v>100</v>
      </c>
      <c r="F3052">
        <v>130</v>
      </c>
      <c r="G3052">
        <v>180</v>
      </c>
      <c r="H3052">
        <v>195</v>
      </c>
    </row>
    <row r="3053" spans="1:8" x14ac:dyDescent="0.25">
      <c r="A3053" s="10">
        <v>3535</v>
      </c>
      <c r="B3053" s="3" t="s">
        <v>3726</v>
      </c>
      <c r="C3053" s="2" t="s">
        <v>3637</v>
      </c>
      <c r="D3053">
        <v>150</v>
      </c>
      <c r="E3053">
        <v>150</v>
      </c>
      <c r="F3053">
        <v>200</v>
      </c>
      <c r="G3053">
        <v>250</v>
      </c>
      <c r="H3053">
        <v>265</v>
      </c>
    </row>
    <row r="3054" spans="1:8" x14ac:dyDescent="0.25">
      <c r="A3054" s="10">
        <v>3536</v>
      </c>
      <c r="B3054" s="3" t="s">
        <v>3727</v>
      </c>
      <c r="C3054" s="2" t="s">
        <v>3638</v>
      </c>
      <c r="D3054">
        <v>150</v>
      </c>
      <c r="E3054">
        <v>820</v>
      </c>
      <c r="F3054">
        <v>890</v>
      </c>
      <c r="G3054">
        <v>950</v>
      </c>
      <c r="H3054">
        <v>975</v>
      </c>
    </row>
    <row r="3055" spans="1:8" x14ac:dyDescent="0.25">
      <c r="A3055" s="10">
        <v>3537</v>
      </c>
      <c r="B3055" s="3" t="s">
        <v>218</v>
      </c>
      <c r="C3055" s="2" t="s">
        <v>3639</v>
      </c>
      <c r="D3055">
        <v>150</v>
      </c>
      <c r="E3055">
        <v>306</v>
      </c>
      <c r="F3055">
        <v>380</v>
      </c>
      <c r="G3055">
        <v>480</v>
      </c>
      <c r="H3055">
        <v>495</v>
      </c>
    </row>
    <row r="3056" spans="1:8" x14ac:dyDescent="0.25">
      <c r="A3056" s="10">
        <v>3538</v>
      </c>
      <c r="B3056" s="3" t="s">
        <v>3728</v>
      </c>
      <c r="C3056" s="2" t="s">
        <v>3640</v>
      </c>
      <c r="D3056">
        <v>150</v>
      </c>
      <c r="E3056">
        <v>420</v>
      </c>
      <c r="F3056">
        <v>520</v>
      </c>
      <c r="G3056">
        <v>650</v>
      </c>
      <c r="H3056">
        <v>675</v>
      </c>
    </row>
    <row r="3057" spans="1:8" x14ac:dyDescent="0.25">
      <c r="A3057" s="10">
        <v>3539</v>
      </c>
      <c r="B3057" s="3" t="s">
        <v>3036</v>
      </c>
      <c r="C3057" s="2" t="s">
        <v>3643</v>
      </c>
      <c r="D3057">
        <v>150</v>
      </c>
      <c r="E3057">
        <v>88</v>
      </c>
      <c r="F3057">
        <v>120</v>
      </c>
      <c r="G3057">
        <v>180</v>
      </c>
      <c r="H3057">
        <v>195</v>
      </c>
    </row>
    <row r="3058" spans="1:8" x14ac:dyDescent="0.25">
      <c r="A3058" s="10">
        <v>3540</v>
      </c>
      <c r="B3058" s="3" t="s">
        <v>3036</v>
      </c>
      <c r="C3058" s="2" t="s">
        <v>3017</v>
      </c>
      <c r="D3058">
        <v>150</v>
      </c>
      <c r="E3058">
        <v>160</v>
      </c>
      <c r="F3058">
        <v>200</v>
      </c>
      <c r="G3058">
        <v>280</v>
      </c>
      <c r="H3058">
        <v>295</v>
      </c>
    </row>
    <row r="3059" spans="1:8" x14ac:dyDescent="0.25">
      <c r="A3059" s="10">
        <v>3541</v>
      </c>
      <c r="B3059" s="3" t="s">
        <v>3036</v>
      </c>
      <c r="C3059" s="2" t="s">
        <v>3018</v>
      </c>
      <c r="D3059">
        <v>150</v>
      </c>
      <c r="E3059">
        <v>160</v>
      </c>
      <c r="F3059">
        <v>200</v>
      </c>
      <c r="G3059">
        <v>280</v>
      </c>
      <c r="H3059">
        <v>295</v>
      </c>
    </row>
    <row r="3060" spans="1:8" x14ac:dyDescent="0.25">
      <c r="A3060" s="10">
        <v>3542</v>
      </c>
      <c r="B3060" s="3" t="s">
        <v>3036</v>
      </c>
      <c r="C3060" s="2" t="s">
        <v>3019</v>
      </c>
      <c r="D3060">
        <v>150</v>
      </c>
      <c r="E3060">
        <v>140</v>
      </c>
      <c r="F3060">
        <v>200</v>
      </c>
      <c r="G3060">
        <v>280</v>
      </c>
      <c r="H3060">
        <v>295</v>
      </c>
    </row>
    <row r="3061" spans="1:8" x14ac:dyDescent="0.25">
      <c r="A3061" s="10">
        <v>3543</v>
      </c>
      <c r="B3061" s="3" t="s">
        <v>3036</v>
      </c>
      <c r="C3061" s="2" t="s">
        <v>3020</v>
      </c>
      <c r="D3061">
        <v>150</v>
      </c>
      <c r="E3061">
        <v>200</v>
      </c>
      <c r="F3061">
        <v>250</v>
      </c>
      <c r="G3061">
        <v>280</v>
      </c>
      <c r="H3061">
        <v>295</v>
      </c>
    </row>
    <row r="3062" spans="1:8" x14ac:dyDescent="0.25">
      <c r="A3062" s="10">
        <v>3544</v>
      </c>
      <c r="B3062" s="3" t="s">
        <v>3729</v>
      </c>
      <c r="C3062" s="2" t="s">
        <v>3641</v>
      </c>
      <c r="D3062">
        <v>150</v>
      </c>
      <c r="E3062">
        <v>450</v>
      </c>
      <c r="F3062">
        <v>550</v>
      </c>
      <c r="G3062">
        <v>700</v>
      </c>
      <c r="H3062">
        <v>725</v>
      </c>
    </row>
    <row r="3063" spans="1:8" x14ac:dyDescent="0.25">
      <c r="A3063" s="10">
        <v>3545</v>
      </c>
      <c r="B3063" s="3" t="s">
        <v>3733</v>
      </c>
      <c r="C3063" s="2" t="s">
        <v>3642</v>
      </c>
      <c r="D3063">
        <v>150</v>
      </c>
      <c r="E3063">
        <v>455</v>
      </c>
      <c r="F3063">
        <v>600</v>
      </c>
      <c r="G3063">
        <v>750</v>
      </c>
      <c r="H3063">
        <v>775</v>
      </c>
    </row>
    <row r="3064" spans="1:8" x14ac:dyDescent="0.25">
      <c r="A3064" s="10">
        <v>3546</v>
      </c>
      <c r="B3064" s="3" t="s">
        <v>3730</v>
      </c>
      <c r="C3064" s="2" t="s">
        <v>3644</v>
      </c>
      <c r="D3064">
        <v>150</v>
      </c>
      <c r="E3064">
        <v>130</v>
      </c>
      <c r="F3064">
        <v>180</v>
      </c>
      <c r="G3064">
        <v>250</v>
      </c>
      <c r="H3064">
        <v>265</v>
      </c>
    </row>
    <row r="3065" spans="1:8" x14ac:dyDescent="0.25">
      <c r="A3065" s="10">
        <v>3547</v>
      </c>
      <c r="B3065" s="3" t="s">
        <v>3718</v>
      </c>
      <c r="C3065" s="2" t="s">
        <v>3645</v>
      </c>
      <c r="D3065">
        <v>150</v>
      </c>
      <c r="E3065">
        <v>750</v>
      </c>
      <c r="F3065">
        <v>800</v>
      </c>
      <c r="G3065">
        <v>950</v>
      </c>
      <c r="H3065">
        <v>975</v>
      </c>
    </row>
    <row r="3066" spans="1:8" x14ac:dyDescent="0.25">
      <c r="A3066" s="10">
        <v>3548</v>
      </c>
      <c r="B3066" s="3" t="s">
        <v>3037</v>
      </c>
      <c r="C3066" s="2" t="s">
        <v>3021</v>
      </c>
      <c r="D3066">
        <v>150</v>
      </c>
      <c r="E3066">
        <v>80</v>
      </c>
      <c r="F3066">
        <v>110</v>
      </c>
      <c r="G3066">
        <v>130</v>
      </c>
      <c r="H3066">
        <v>145</v>
      </c>
    </row>
    <row r="3067" spans="1:8" x14ac:dyDescent="0.25">
      <c r="A3067" s="10">
        <v>3549</v>
      </c>
      <c r="B3067" s="3" t="s">
        <v>3037</v>
      </c>
      <c r="C3067" s="2" t="s">
        <v>3022</v>
      </c>
      <c r="D3067">
        <v>150</v>
      </c>
      <c r="E3067">
        <v>80</v>
      </c>
      <c r="F3067">
        <v>110</v>
      </c>
      <c r="G3067">
        <v>130</v>
      </c>
      <c r="H3067">
        <v>145</v>
      </c>
    </row>
    <row r="3068" spans="1:8" x14ac:dyDescent="0.25">
      <c r="A3068" s="10">
        <v>3550</v>
      </c>
      <c r="B3068" s="3" t="s">
        <v>3038</v>
      </c>
      <c r="C3068" s="2" t="s">
        <v>3023</v>
      </c>
      <c r="D3068">
        <v>150</v>
      </c>
      <c r="E3068">
        <v>520</v>
      </c>
      <c r="F3068">
        <v>650</v>
      </c>
      <c r="G3068">
        <v>780</v>
      </c>
      <c r="H3068">
        <v>795</v>
      </c>
    </row>
    <row r="3069" spans="1:8" x14ac:dyDescent="0.25">
      <c r="A3069" s="10">
        <v>3551</v>
      </c>
      <c r="B3069" s="3" t="s">
        <v>3717</v>
      </c>
      <c r="C3069" s="2" t="s">
        <v>3646</v>
      </c>
      <c r="D3069">
        <v>150</v>
      </c>
      <c r="E3069">
        <v>575</v>
      </c>
      <c r="F3069">
        <v>675</v>
      </c>
      <c r="G3069">
        <v>780</v>
      </c>
      <c r="H3069">
        <v>795</v>
      </c>
    </row>
    <row r="3070" spans="1:8" x14ac:dyDescent="0.25">
      <c r="A3070" s="10">
        <v>3552</v>
      </c>
      <c r="B3070" s="3" t="s">
        <v>3717</v>
      </c>
      <c r="C3070" s="2" t="s">
        <v>3647</v>
      </c>
      <c r="D3070">
        <v>150</v>
      </c>
      <c r="E3070">
        <v>690</v>
      </c>
      <c r="F3070">
        <v>790</v>
      </c>
      <c r="G3070">
        <v>980</v>
      </c>
      <c r="H3070">
        <v>995</v>
      </c>
    </row>
    <row r="3071" spans="1:8" x14ac:dyDescent="0.25">
      <c r="A3071" s="10">
        <v>3553</v>
      </c>
      <c r="B3071" s="3" t="s">
        <v>3717</v>
      </c>
      <c r="C3071" s="2" t="s">
        <v>3648</v>
      </c>
      <c r="D3071">
        <v>150</v>
      </c>
      <c r="E3071">
        <v>600</v>
      </c>
      <c r="F3071">
        <v>700</v>
      </c>
      <c r="G3071">
        <v>780</v>
      </c>
      <c r="H3071">
        <v>795</v>
      </c>
    </row>
    <row r="3072" spans="1:8" x14ac:dyDescent="0.25">
      <c r="A3072" s="10">
        <v>3554</v>
      </c>
      <c r="B3072" s="3" t="s">
        <v>3731</v>
      </c>
      <c r="C3072" s="2" t="s">
        <v>3649</v>
      </c>
      <c r="D3072">
        <v>150</v>
      </c>
      <c r="E3072">
        <v>60</v>
      </c>
      <c r="F3072">
        <v>80</v>
      </c>
      <c r="G3072">
        <v>100</v>
      </c>
      <c r="H3072">
        <v>110</v>
      </c>
    </row>
    <row r="3073" spans="1:8" x14ac:dyDescent="0.25">
      <c r="A3073" s="10">
        <v>3555</v>
      </c>
      <c r="B3073" s="3" t="s">
        <v>3732</v>
      </c>
      <c r="C3073" s="2" t="s">
        <v>3650</v>
      </c>
      <c r="D3073">
        <v>150</v>
      </c>
      <c r="E3073">
        <v>290</v>
      </c>
      <c r="F3073">
        <v>320</v>
      </c>
      <c r="G3073">
        <v>400</v>
      </c>
      <c r="H3073">
        <v>425</v>
      </c>
    </row>
    <row r="3074" spans="1:8" x14ac:dyDescent="0.25">
      <c r="A3074" s="10">
        <v>3556</v>
      </c>
      <c r="B3074" s="3" t="s">
        <v>3732</v>
      </c>
      <c r="C3074" s="2" t="s">
        <v>3651</v>
      </c>
      <c r="D3074">
        <v>150</v>
      </c>
      <c r="E3074">
        <v>150</v>
      </c>
      <c r="F3074">
        <v>160</v>
      </c>
      <c r="G3074">
        <v>180</v>
      </c>
      <c r="H3074">
        <v>195</v>
      </c>
    </row>
    <row r="3075" spans="1:8" x14ac:dyDescent="0.25">
      <c r="A3075" s="10">
        <v>3557</v>
      </c>
      <c r="B3075" s="3" t="s">
        <v>3037</v>
      </c>
      <c r="C3075" s="2" t="s">
        <v>3024</v>
      </c>
      <c r="D3075">
        <v>150</v>
      </c>
      <c r="E3075">
        <v>80</v>
      </c>
      <c r="F3075">
        <v>100</v>
      </c>
      <c r="G3075">
        <v>120</v>
      </c>
      <c r="H3075">
        <v>135</v>
      </c>
    </row>
    <row r="3076" spans="1:8" x14ac:dyDescent="0.25">
      <c r="A3076" s="10">
        <v>3558</v>
      </c>
      <c r="B3076" s="3" t="s">
        <v>3037</v>
      </c>
      <c r="C3076" s="2" t="s">
        <v>3025</v>
      </c>
      <c r="D3076">
        <v>150</v>
      </c>
      <c r="E3076">
        <v>100</v>
      </c>
      <c r="F3076">
        <v>150</v>
      </c>
      <c r="G3076">
        <v>200</v>
      </c>
      <c r="H3076">
        <v>210</v>
      </c>
    </row>
    <row r="3077" spans="1:8" x14ac:dyDescent="0.25">
      <c r="A3077" s="10">
        <v>3559</v>
      </c>
      <c r="B3077" s="3" t="s">
        <v>3716</v>
      </c>
      <c r="C3077" s="2" t="s">
        <v>3653</v>
      </c>
      <c r="D3077">
        <v>150</v>
      </c>
    </row>
    <row r="3078" spans="1:8" x14ac:dyDescent="0.25">
      <c r="A3078" s="10">
        <v>3560</v>
      </c>
      <c r="B3078" s="3" t="s">
        <v>3716</v>
      </c>
      <c r="C3078" s="2" t="s">
        <v>3652</v>
      </c>
      <c r="D3078">
        <v>150</v>
      </c>
      <c r="E3078">
        <v>675</v>
      </c>
      <c r="F3078">
        <v>750</v>
      </c>
      <c r="G3078">
        <v>950</v>
      </c>
      <c r="H3078">
        <v>975</v>
      </c>
    </row>
    <row r="3079" spans="1:8" x14ac:dyDescent="0.25">
      <c r="A3079" s="10">
        <v>3561</v>
      </c>
      <c r="B3079" s="3" t="s">
        <v>3716</v>
      </c>
      <c r="C3079" s="2" t="s">
        <v>3656</v>
      </c>
      <c r="D3079">
        <v>150</v>
      </c>
      <c r="E3079">
        <v>520</v>
      </c>
      <c r="F3079">
        <v>600</v>
      </c>
      <c r="G3079">
        <v>680</v>
      </c>
      <c r="H3079">
        <v>695</v>
      </c>
    </row>
    <row r="3080" spans="1:8" x14ac:dyDescent="0.25">
      <c r="A3080" s="10">
        <v>3562</v>
      </c>
      <c r="B3080" s="3" t="s">
        <v>3716</v>
      </c>
      <c r="C3080" s="2" t="s">
        <v>3654</v>
      </c>
      <c r="D3080">
        <v>150</v>
      </c>
      <c r="E3080">
        <v>880</v>
      </c>
      <c r="F3080">
        <v>1000</v>
      </c>
      <c r="G3080">
        <v>1350</v>
      </c>
      <c r="H3080">
        <v>1375</v>
      </c>
    </row>
    <row r="3081" spans="1:8" x14ac:dyDescent="0.25">
      <c r="A3081" s="10">
        <v>3563</v>
      </c>
      <c r="B3081" s="3" t="s">
        <v>3716</v>
      </c>
      <c r="C3081" s="2" t="s">
        <v>3655</v>
      </c>
      <c r="D3081">
        <v>150</v>
      </c>
    </row>
    <row r="3082" spans="1:8" x14ac:dyDescent="0.25">
      <c r="A3082" s="10">
        <v>3564</v>
      </c>
      <c r="B3082" s="3" t="s">
        <v>3716</v>
      </c>
      <c r="C3082" s="2" t="s">
        <v>3657</v>
      </c>
      <c r="D3082">
        <v>150</v>
      </c>
      <c r="E3082">
        <v>1150</v>
      </c>
      <c r="F3082">
        <v>1300</v>
      </c>
      <c r="G3082">
        <v>1650</v>
      </c>
      <c r="H3082">
        <v>1675</v>
      </c>
    </row>
    <row r="3083" spans="1:8" x14ac:dyDescent="0.25">
      <c r="A3083" s="10">
        <v>3565</v>
      </c>
      <c r="B3083" s="3" t="s">
        <v>3716</v>
      </c>
      <c r="C3083" s="2" t="s">
        <v>3658</v>
      </c>
      <c r="D3083">
        <v>150</v>
      </c>
      <c r="E3083">
        <v>1220</v>
      </c>
      <c r="F3083">
        <v>1450</v>
      </c>
      <c r="G3083">
        <v>1750</v>
      </c>
      <c r="H3083">
        <v>1775</v>
      </c>
    </row>
    <row r="3084" spans="1:8" x14ac:dyDescent="0.25">
      <c r="A3084" s="10">
        <v>3566</v>
      </c>
      <c r="B3084" s="3" t="s">
        <v>3716</v>
      </c>
      <c r="C3084" s="2" t="s">
        <v>3659</v>
      </c>
      <c r="D3084">
        <v>150</v>
      </c>
      <c r="E3084">
        <v>1520</v>
      </c>
      <c r="F3084">
        <v>1650</v>
      </c>
      <c r="G3084">
        <v>1950</v>
      </c>
      <c r="H3084">
        <v>1975</v>
      </c>
    </row>
    <row r="3085" spans="1:8" x14ac:dyDescent="0.25">
      <c r="A3085" s="10">
        <v>3567</v>
      </c>
      <c r="B3085" s="3" t="s">
        <v>3039</v>
      </c>
      <c r="C3085" s="2" t="s">
        <v>3026</v>
      </c>
      <c r="D3085">
        <v>150</v>
      </c>
      <c r="E3085">
        <v>2000</v>
      </c>
      <c r="F3085">
        <v>2400</v>
      </c>
      <c r="G3085">
        <v>2900</v>
      </c>
      <c r="H3085">
        <v>2975</v>
      </c>
    </row>
    <row r="3086" spans="1:8" x14ac:dyDescent="0.25">
      <c r="A3086" s="10">
        <v>3568</v>
      </c>
      <c r="B3086" s="3" t="s">
        <v>3039</v>
      </c>
      <c r="C3086" s="2" t="s">
        <v>3027</v>
      </c>
      <c r="D3086">
        <v>150</v>
      </c>
      <c r="E3086">
        <v>1550</v>
      </c>
      <c r="F3086">
        <v>2000</v>
      </c>
      <c r="G3086">
        <v>2600</v>
      </c>
      <c r="H3086">
        <v>2675</v>
      </c>
    </row>
    <row r="3087" spans="1:8" x14ac:dyDescent="0.25">
      <c r="A3087" s="10">
        <v>3569</v>
      </c>
      <c r="B3087" s="3" t="s">
        <v>3039</v>
      </c>
      <c r="C3087" s="2" t="s">
        <v>3028</v>
      </c>
      <c r="D3087">
        <v>150</v>
      </c>
      <c r="E3087">
        <v>2490</v>
      </c>
      <c r="F3087">
        <v>3000</v>
      </c>
      <c r="G3087">
        <v>3600</v>
      </c>
      <c r="H3087">
        <v>3675</v>
      </c>
    </row>
    <row r="3088" spans="1:8" x14ac:dyDescent="0.25">
      <c r="A3088" s="10">
        <v>3570</v>
      </c>
      <c r="B3088" s="3" t="s">
        <v>3718</v>
      </c>
      <c r="C3088" s="2" t="s">
        <v>3034</v>
      </c>
      <c r="D3088">
        <v>150</v>
      </c>
      <c r="E3088">
        <v>675</v>
      </c>
      <c r="F3088">
        <v>800</v>
      </c>
      <c r="G3088">
        <v>950</v>
      </c>
      <c r="H3088">
        <v>975</v>
      </c>
    </row>
    <row r="3089" spans="1:8" x14ac:dyDescent="0.25">
      <c r="A3089" s="10">
        <v>3571</v>
      </c>
      <c r="B3089" s="3" t="s">
        <v>3718</v>
      </c>
      <c r="C3089" s="2" t="s">
        <v>3032</v>
      </c>
      <c r="D3089">
        <v>150</v>
      </c>
      <c r="E3089">
        <v>530</v>
      </c>
      <c r="F3089">
        <v>700</v>
      </c>
      <c r="G3089">
        <v>850</v>
      </c>
      <c r="H3089">
        <v>875</v>
      </c>
    </row>
    <row r="3090" spans="1:8" x14ac:dyDescent="0.25">
      <c r="A3090" s="10">
        <v>3572</v>
      </c>
      <c r="B3090" s="3" t="s">
        <v>3718</v>
      </c>
      <c r="C3090" s="2" t="s">
        <v>3033</v>
      </c>
      <c r="D3090">
        <v>150</v>
      </c>
      <c r="E3090">
        <v>1375</v>
      </c>
      <c r="F3090">
        <v>1600</v>
      </c>
      <c r="G3090">
        <v>1950</v>
      </c>
      <c r="H3090">
        <v>1975</v>
      </c>
    </row>
    <row r="3091" spans="1:8" x14ac:dyDescent="0.25">
      <c r="A3091" s="10">
        <v>3573</v>
      </c>
      <c r="B3091" s="3" t="s">
        <v>3718</v>
      </c>
      <c r="C3091" s="2" t="s">
        <v>3031</v>
      </c>
      <c r="D3091">
        <v>150</v>
      </c>
      <c r="E3091">
        <v>475</v>
      </c>
      <c r="F3091">
        <v>600</v>
      </c>
      <c r="G3091">
        <v>950</v>
      </c>
      <c r="H3091">
        <v>975</v>
      </c>
    </row>
    <row r="3092" spans="1:8" x14ac:dyDescent="0.25">
      <c r="A3092"/>
      <c r="B3092" s="3"/>
      <c r="C3092" s="2"/>
      <c r="D3092"/>
    </row>
    <row r="3093" spans="1:8" x14ac:dyDescent="0.25">
      <c r="A3093" s="10">
        <v>3574</v>
      </c>
      <c r="B3093" s="3" t="s">
        <v>3715</v>
      </c>
      <c r="C3093" s="2" t="s">
        <v>3695</v>
      </c>
      <c r="D3093" t="s">
        <v>3861</v>
      </c>
      <c r="E3093">
        <v>160</v>
      </c>
      <c r="F3093">
        <f>SUM(E3093+20)</f>
        <v>180</v>
      </c>
      <c r="G3093">
        <v>280</v>
      </c>
      <c r="H3093">
        <v>295</v>
      </c>
    </row>
    <row r="3094" spans="1:8" x14ac:dyDescent="0.25">
      <c r="A3094" s="10">
        <v>3575</v>
      </c>
      <c r="B3094" s="3" t="s">
        <v>3715</v>
      </c>
      <c r="C3094" s="2" t="s">
        <v>3696</v>
      </c>
      <c r="D3094">
        <v>151</v>
      </c>
      <c r="E3094">
        <v>236</v>
      </c>
      <c r="F3094">
        <f t="shared" ref="F3094:F3113" si="73">SUM(E3094+20)</f>
        <v>256</v>
      </c>
      <c r="G3094">
        <v>380</v>
      </c>
      <c r="H3094">
        <v>395</v>
      </c>
    </row>
    <row r="3095" spans="1:8" x14ac:dyDescent="0.25">
      <c r="A3095" s="10">
        <v>3576</v>
      </c>
      <c r="B3095" s="3" t="s">
        <v>3715</v>
      </c>
      <c r="C3095" s="2" t="s">
        <v>3697</v>
      </c>
      <c r="D3095">
        <v>151</v>
      </c>
      <c r="E3095">
        <v>150</v>
      </c>
      <c r="F3095">
        <f t="shared" si="73"/>
        <v>170</v>
      </c>
      <c r="G3095">
        <v>280</v>
      </c>
      <c r="H3095">
        <v>295</v>
      </c>
    </row>
    <row r="3096" spans="1:8" x14ac:dyDescent="0.25">
      <c r="A3096" s="10">
        <v>3577</v>
      </c>
      <c r="B3096" s="3" t="s">
        <v>3715</v>
      </c>
      <c r="C3096" s="2" t="s">
        <v>3698</v>
      </c>
      <c r="D3096">
        <v>151</v>
      </c>
      <c r="E3096">
        <v>285</v>
      </c>
      <c r="F3096">
        <f t="shared" si="73"/>
        <v>305</v>
      </c>
      <c r="G3096">
        <v>380</v>
      </c>
      <c r="H3096">
        <v>395</v>
      </c>
    </row>
    <row r="3097" spans="1:8" x14ac:dyDescent="0.25">
      <c r="A3097" s="10">
        <v>3578</v>
      </c>
      <c r="B3097" s="3" t="s">
        <v>3715</v>
      </c>
      <c r="C3097" s="2" t="s">
        <v>3704</v>
      </c>
      <c r="D3097">
        <v>151</v>
      </c>
      <c r="E3097">
        <v>367.5</v>
      </c>
      <c r="F3097">
        <f t="shared" si="73"/>
        <v>387.5</v>
      </c>
      <c r="G3097">
        <v>480</v>
      </c>
      <c r="H3097">
        <v>490</v>
      </c>
    </row>
    <row r="3098" spans="1:8" x14ac:dyDescent="0.25">
      <c r="A3098" s="10">
        <v>3579</v>
      </c>
      <c r="B3098" s="3" t="s">
        <v>3715</v>
      </c>
      <c r="C3098" s="2" t="s">
        <v>3700</v>
      </c>
      <c r="D3098">
        <v>151</v>
      </c>
      <c r="E3098">
        <v>352.5</v>
      </c>
      <c r="F3098">
        <f t="shared" si="73"/>
        <v>372.5</v>
      </c>
      <c r="G3098">
        <v>450</v>
      </c>
      <c r="H3098">
        <v>470</v>
      </c>
    </row>
    <row r="3099" spans="1:8" x14ac:dyDescent="0.25">
      <c r="A3099" s="10">
        <v>3580</v>
      </c>
      <c r="B3099" s="3" t="s">
        <v>3715</v>
      </c>
      <c r="C3099" s="2" t="s">
        <v>3699</v>
      </c>
      <c r="D3099">
        <v>151</v>
      </c>
      <c r="E3099">
        <v>697.5</v>
      </c>
      <c r="F3099">
        <f t="shared" si="73"/>
        <v>717.5</v>
      </c>
      <c r="G3099">
        <v>920</v>
      </c>
      <c r="H3099">
        <v>930</v>
      </c>
    </row>
    <row r="3100" spans="1:8" x14ac:dyDescent="0.25">
      <c r="A3100" s="10">
        <v>3581</v>
      </c>
      <c r="B3100" s="3" t="s">
        <v>3715</v>
      </c>
      <c r="C3100" s="2" t="s">
        <v>3703</v>
      </c>
      <c r="D3100">
        <v>151</v>
      </c>
      <c r="E3100">
        <v>341.25</v>
      </c>
      <c r="F3100">
        <f t="shared" si="73"/>
        <v>361.25</v>
      </c>
      <c r="G3100">
        <v>450</v>
      </c>
      <c r="H3100">
        <v>455</v>
      </c>
    </row>
    <row r="3101" spans="1:8" x14ac:dyDescent="0.25">
      <c r="A3101" s="10">
        <v>3582</v>
      </c>
      <c r="B3101" s="3" t="s">
        <v>3715</v>
      </c>
      <c r="C3101" s="2" t="s">
        <v>3701</v>
      </c>
      <c r="D3101">
        <v>151</v>
      </c>
      <c r="E3101">
        <v>630</v>
      </c>
      <c r="F3101">
        <f t="shared" si="73"/>
        <v>650</v>
      </c>
      <c r="G3101">
        <v>520</v>
      </c>
      <c r="H3101">
        <v>840</v>
      </c>
    </row>
    <row r="3102" spans="1:8" x14ac:dyDescent="0.25">
      <c r="A3102" s="10">
        <v>3583</v>
      </c>
      <c r="B3102" s="3" t="s">
        <v>3715</v>
      </c>
      <c r="C3102" s="2" t="s">
        <v>3702</v>
      </c>
      <c r="D3102">
        <v>151</v>
      </c>
      <c r="E3102">
        <v>500</v>
      </c>
      <c r="F3102">
        <f t="shared" si="73"/>
        <v>520</v>
      </c>
      <c r="G3102">
        <v>680</v>
      </c>
      <c r="H3102">
        <v>695</v>
      </c>
    </row>
    <row r="3103" spans="1:8" x14ac:dyDescent="0.25">
      <c r="A3103" s="10">
        <v>3584</v>
      </c>
      <c r="B3103" s="3" t="s">
        <v>3715</v>
      </c>
      <c r="C3103" s="2" t="s">
        <v>3702</v>
      </c>
      <c r="D3103">
        <v>151</v>
      </c>
      <c r="E3103">
        <v>280</v>
      </c>
      <c r="F3103">
        <f t="shared" si="73"/>
        <v>300</v>
      </c>
      <c r="G3103">
        <v>480</v>
      </c>
      <c r="H3103">
        <v>495</v>
      </c>
    </row>
    <row r="3104" spans="1:8" x14ac:dyDescent="0.25">
      <c r="A3104" s="10">
        <v>3585</v>
      </c>
      <c r="B3104" s="3" t="s">
        <v>3715</v>
      </c>
      <c r="C3104" s="2" t="s">
        <v>3705</v>
      </c>
      <c r="D3104">
        <v>151</v>
      </c>
      <c r="E3104">
        <v>257</v>
      </c>
      <c r="F3104">
        <f t="shared" si="73"/>
        <v>277</v>
      </c>
      <c r="G3104">
        <v>400</v>
      </c>
      <c r="H3104">
        <v>420</v>
      </c>
    </row>
    <row r="3105" spans="1:8" x14ac:dyDescent="0.25">
      <c r="A3105" s="10">
        <v>3586</v>
      </c>
      <c r="B3105" s="3" t="s">
        <v>3715</v>
      </c>
      <c r="C3105" s="2" t="s">
        <v>3706</v>
      </c>
      <c r="D3105">
        <v>151</v>
      </c>
      <c r="E3105">
        <v>605</v>
      </c>
      <c r="F3105">
        <f t="shared" si="73"/>
        <v>625</v>
      </c>
      <c r="G3105">
        <v>980</v>
      </c>
      <c r="H3105">
        <v>990</v>
      </c>
    </row>
    <row r="3106" spans="1:8" x14ac:dyDescent="0.25">
      <c r="A3106" s="10">
        <v>3587</v>
      </c>
      <c r="B3106" s="3" t="s">
        <v>3715</v>
      </c>
      <c r="C3106" s="2" t="s">
        <v>3708</v>
      </c>
      <c r="D3106">
        <v>151</v>
      </c>
      <c r="E3106">
        <v>427.5</v>
      </c>
      <c r="F3106">
        <f t="shared" si="73"/>
        <v>447.5</v>
      </c>
      <c r="G3106">
        <v>550</v>
      </c>
      <c r="H3106">
        <v>570</v>
      </c>
    </row>
    <row r="3107" spans="1:8" x14ac:dyDescent="0.25">
      <c r="A3107" s="10">
        <v>3588</v>
      </c>
      <c r="B3107" s="3" t="s">
        <v>3715</v>
      </c>
      <c r="C3107" s="2" t="s">
        <v>3707</v>
      </c>
      <c r="D3107">
        <v>151</v>
      </c>
      <c r="E3107">
        <v>615</v>
      </c>
      <c r="F3107">
        <f t="shared" si="73"/>
        <v>635</v>
      </c>
      <c r="G3107">
        <v>800</v>
      </c>
      <c r="H3107">
        <v>820</v>
      </c>
    </row>
    <row r="3108" spans="1:8" x14ac:dyDescent="0.25">
      <c r="A3108" s="10">
        <v>3589</v>
      </c>
      <c r="B3108" s="3" t="s">
        <v>3715</v>
      </c>
      <c r="C3108" s="2" t="s">
        <v>3709</v>
      </c>
      <c r="D3108">
        <v>151</v>
      </c>
      <c r="E3108">
        <v>671.5</v>
      </c>
      <c r="F3108">
        <f t="shared" si="73"/>
        <v>691.5</v>
      </c>
      <c r="G3108">
        <v>780</v>
      </c>
      <c r="H3108">
        <v>790</v>
      </c>
    </row>
    <row r="3109" spans="1:8" x14ac:dyDescent="0.25">
      <c r="A3109" s="10">
        <v>3590</v>
      </c>
      <c r="B3109" s="3" t="s">
        <v>3715</v>
      </c>
      <c r="C3109" s="2" t="s">
        <v>3710</v>
      </c>
      <c r="D3109">
        <v>151</v>
      </c>
      <c r="E3109">
        <v>250</v>
      </c>
      <c r="F3109">
        <f t="shared" si="73"/>
        <v>270</v>
      </c>
      <c r="G3109">
        <v>480</v>
      </c>
      <c r="H3109">
        <v>495</v>
      </c>
    </row>
    <row r="3110" spans="1:8" x14ac:dyDescent="0.25">
      <c r="A3110" s="10">
        <v>3591</v>
      </c>
      <c r="B3110" s="3" t="s">
        <v>3715</v>
      </c>
      <c r="C3110" s="2" t="s">
        <v>3711</v>
      </c>
      <c r="D3110">
        <v>151</v>
      </c>
      <c r="E3110">
        <v>612</v>
      </c>
      <c r="F3110">
        <f t="shared" si="73"/>
        <v>632</v>
      </c>
      <c r="G3110">
        <v>700</v>
      </c>
      <c r="H3110">
        <v>720</v>
      </c>
    </row>
    <row r="3111" spans="1:8" x14ac:dyDescent="0.25">
      <c r="A3111" s="10">
        <v>3592</v>
      </c>
      <c r="B3111" s="3" t="s">
        <v>3715</v>
      </c>
      <c r="C3111" s="2" t="s">
        <v>3712</v>
      </c>
      <c r="D3111">
        <v>151</v>
      </c>
      <c r="E3111">
        <v>180</v>
      </c>
      <c r="F3111">
        <f t="shared" si="73"/>
        <v>200</v>
      </c>
      <c r="G3111">
        <v>280</v>
      </c>
      <c r="H3111">
        <v>295</v>
      </c>
    </row>
    <row r="3112" spans="1:8" x14ac:dyDescent="0.25">
      <c r="A3112" s="10">
        <v>3593</v>
      </c>
      <c r="B3112" s="3" t="s">
        <v>3715</v>
      </c>
      <c r="C3112" s="2" t="s">
        <v>3713</v>
      </c>
      <c r="D3112">
        <v>151</v>
      </c>
      <c r="E3112">
        <v>170</v>
      </c>
      <c r="F3112">
        <f t="shared" si="73"/>
        <v>190</v>
      </c>
      <c r="G3112">
        <v>200</v>
      </c>
      <c r="H3112">
        <v>200</v>
      </c>
    </row>
    <row r="3113" spans="1:8" x14ac:dyDescent="0.25">
      <c r="A3113" s="10">
        <v>3594</v>
      </c>
      <c r="B3113" s="3" t="s">
        <v>3715</v>
      </c>
      <c r="C3113" s="2" t="s">
        <v>3714</v>
      </c>
      <c r="D3113">
        <v>151</v>
      </c>
      <c r="E3113">
        <v>217.5</v>
      </c>
      <c r="F3113">
        <f t="shared" si="73"/>
        <v>237.5</v>
      </c>
      <c r="G3113">
        <v>280</v>
      </c>
      <c r="H3113">
        <v>290</v>
      </c>
    </row>
    <row r="3115" spans="1:8" x14ac:dyDescent="0.25">
      <c r="A3115" s="10">
        <v>3595</v>
      </c>
      <c r="B3115" s="2" t="s">
        <v>3573</v>
      </c>
      <c r="C3115" s="15" t="s">
        <v>3558</v>
      </c>
      <c r="D3115" s="1" t="s">
        <v>3871</v>
      </c>
      <c r="E3115">
        <v>6700</v>
      </c>
      <c r="F3115">
        <v>6800</v>
      </c>
      <c r="G3115">
        <v>6800</v>
      </c>
      <c r="H3115">
        <v>6950</v>
      </c>
    </row>
    <row r="3116" spans="1:8" x14ac:dyDescent="0.25">
      <c r="A3116" s="10">
        <v>3596</v>
      </c>
      <c r="B3116" s="2" t="s">
        <v>3573</v>
      </c>
      <c r="C3116" s="15" t="s">
        <v>3559</v>
      </c>
      <c r="D3116" s="1">
        <v>152</v>
      </c>
      <c r="E3116">
        <v>11500</v>
      </c>
      <c r="F3116">
        <v>12300</v>
      </c>
      <c r="G3116">
        <v>12500</v>
      </c>
    </row>
    <row r="3117" spans="1:8" x14ac:dyDescent="0.25">
      <c r="A3117" s="10">
        <v>3597</v>
      </c>
      <c r="B3117" s="2" t="s">
        <v>3573</v>
      </c>
      <c r="C3117" s="15" t="s">
        <v>3560</v>
      </c>
      <c r="D3117" s="1">
        <v>152</v>
      </c>
      <c r="E3117">
        <v>14500</v>
      </c>
      <c r="F3117">
        <v>14500</v>
      </c>
      <c r="G3117">
        <v>14500</v>
      </c>
    </row>
    <row r="3118" spans="1:8" x14ac:dyDescent="0.25">
      <c r="A3118" s="10">
        <v>3598</v>
      </c>
      <c r="B3118" s="2" t="s">
        <v>3573</v>
      </c>
      <c r="C3118" s="15" t="s">
        <v>3561</v>
      </c>
      <c r="D3118" s="1">
        <v>152</v>
      </c>
      <c r="E3118">
        <v>5950</v>
      </c>
      <c r="F3118">
        <v>6000</v>
      </c>
      <c r="G3118">
        <v>6300</v>
      </c>
      <c r="H3118">
        <v>6500</v>
      </c>
    </row>
    <row r="3119" spans="1:8" x14ac:dyDescent="0.25">
      <c r="A3119" s="10">
        <v>3599</v>
      </c>
      <c r="B3119" s="2" t="s">
        <v>3573</v>
      </c>
      <c r="C3119" s="15" t="s">
        <v>3562</v>
      </c>
      <c r="D3119" s="1">
        <v>152</v>
      </c>
    </row>
    <row r="3120" spans="1:8" x14ac:dyDescent="0.25">
      <c r="A3120" s="10">
        <v>3600</v>
      </c>
      <c r="B3120" s="2" t="s">
        <v>3573</v>
      </c>
      <c r="C3120" s="15" t="s">
        <v>3563</v>
      </c>
      <c r="D3120" s="1">
        <v>152</v>
      </c>
      <c r="E3120">
        <v>12950</v>
      </c>
      <c r="F3120">
        <v>13100</v>
      </c>
      <c r="G3120">
        <v>13000</v>
      </c>
      <c r="H3120">
        <v>13500</v>
      </c>
    </row>
    <row r="3121" spans="1:8" x14ac:dyDescent="0.25">
      <c r="A3121" s="10">
        <v>3601</v>
      </c>
      <c r="B3121" s="2" t="s">
        <v>3573</v>
      </c>
      <c r="C3121" s="15" t="s">
        <v>3568</v>
      </c>
      <c r="D3121" s="1">
        <v>152</v>
      </c>
    </row>
    <row r="3122" spans="1:8" x14ac:dyDescent="0.25">
      <c r="A3122" s="10">
        <v>3602</v>
      </c>
      <c r="B3122" s="2" t="s">
        <v>3573</v>
      </c>
      <c r="C3122" s="15" t="s">
        <v>3564</v>
      </c>
      <c r="D3122" s="1">
        <v>152</v>
      </c>
      <c r="E3122">
        <v>6160</v>
      </c>
      <c r="F3122">
        <v>6300</v>
      </c>
      <c r="G3122">
        <v>6500</v>
      </c>
      <c r="H3122">
        <v>6650</v>
      </c>
    </row>
    <row r="3123" spans="1:8" x14ac:dyDescent="0.25">
      <c r="A3123" s="10">
        <v>3603</v>
      </c>
      <c r="B3123" s="2" t="s">
        <v>3573</v>
      </c>
      <c r="C3123" s="15" t="s">
        <v>3565</v>
      </c>
      <c r="D3123" s="1">
        <v>152</v>
      </c>
    </row>
    <row r="3124" spans="1:8" x14ac:dyDescent="0.25">
      <c r="A3124" s="10">
        <v>3604</v>
      </c>
      <c r="B3124" s="2" t="s">
        <v>3573</v>
      </c>
      <c r="C3124" s="15" t="s">
        <v>3566</v>
      </c>
      <c r="D3124" s="1">
        <v>152</v>
      </c>
      <c r="E3124">
        <v>13433</v>
      </c>
      <c r="F3124">
        <v>14300</v>
      </c>
      <c r="G3124">
        <v>14500</v>
      </c>
      <c r="H3124">
        <v>14750</v>
      </c>
    </row>
    <row r="3125" spans="1:8" x14ac:dyDescent="0.25">
      <c r="A3125" s="10">
        <v>3605</v>
      </c>
      <c r="B3125" s="2" t="s">
        <v>3573</v>
      </c>
      <c r="C3125" s="15" t="s">
        <v>3567</v>
      </c>
      <c r="D3125" s="1">
        <v>152</v>
      </c>
    </row>
    <row r="3127" spans="1:8" x14ac:dyDescent="0.25">
      <c r="A3127" s="10">
        <v>3606</v>
      </c>
      <c r="B3127" s="2" t="s">
        <v>3574</v>
      </c>
      <c r="C3127" s="2" t="s">
        <v>3569</v>
      </c>
      <c r="D3127" s="1">
        <v>152</v>
      </c>
      <c r="E3127">
        <v>133</v>
      </c>
      <c r="F3127">
        <v>200</v>
      </c>
      <c r="G3127">
        <v>260</v>
      </c>
      <c r="H3127">
        <v>275</v>
      </c>
    </row>
    <row r="3128" spans="1:8" x14ac:dyDescent="0.25">
      <c r="A3128" s="10">
        <v>3607</v>
      </c>
      <c r="B3128" s="2" t="s">
        <v>3574</v>
      </c>
      <c r="C3128" s="2" t="s">
        <v>3570</v>
      </c>
      <c r="D3128" s="1">
        <v>152</v>
      </c>
      <c r="E3128">
        <v>265</v>
      </c>
      <c r="F3128">
        <v>380</v>
      </c>
      <c r="G3128">
        <v>430</v>
      </c>
      <c r="H3128">
        <v>445</v>
      </c>
    </row>
    <row r="3129" spans="1:8" x14ac:dyDescent="0.25">
      <c r="A3129" s="10">
        <v>3608</v>
      </c>
      <c r="B3129" s="2" t="s">
        <v>3574</v>
      </c>
      <c r="C3129" s="2" t="s">
        <v>3571</v>
      </c>
      <c r="D3129" s="1">
        <v>152</v>
      </c>
      <c r="E3129">
        <v>398</v>
      </c>
      <c r="F3129">
        <v>500</v>
      </c>
      <c r="G3129">
        <v>580</v>
      </c>
      <c r="H3129">
        <v>595</v>
      </c>
    </row>
    <row r="3130" spans="1:8" x14ac:dyDescent="0.25">
      <c r="A3130" s="10">
        <v>3609</v>
      </c>
      <c r="B3130" s="2" t="s">
        <v>3574</v>
      </c>
      <c r="C3130" s="2" t="s">
        <v>3572</v>
      </c>
      <c r="D3130" s="1">
        <v>152</v>
      </c>
      <c r="E3130">
        <v>530</v>
      </c>
      <c r="F3130">
        <v>700</v>
      </c>
      <c r="G3130">
        <v>780</v>
      </c>
      <c r="H3130">
        <v>795</v>
      </c>
    </row>
    <row r="3132" spans="1:8" x14ac:dyDescent="0.25">
      <c r="A3132" s="10">
        <v>3610</v>
      </c>
      <c r="B3132" s="1" t="s">
        <v>3869</v>
      </c>
      <c r="C3132" s="2" t="s">
        <v>3421</v>
      </c>
      <c r="D3132" s="1" t="s">
        <v>3872</v>
      </c>
      <c r="E3132">
        <v>13600</v>
      </c>
    </row>
    <row r="3133" spans="1:8" x14ac:dyDescent="0.25">
      <c r="A3133" s="10">
        <v>3611</v>
      </c>
      <c r="B3133" s="1" t="s">
        <v>3869</v>
      </c>
      <c r="C3133" s="2" t="s">
        <v>3430</v>
      </c>
      <c r="D3133" s="1">
        <v>153</v>
      </c>
      <c r="E3133">
        <v>9000</v>
      </c>
      <c r="F3133">
        <v>10500</v>
      </c>
      <c r="G3133">
        <v>10950</v>
      </c>
      <c r="H3133">
        <v>11000</v>
      </c>
    </row>
    <row r="3134" spans="1:8" x14ac:dyDescent="0.25">
      <c r="A3134" s="10">
        <v>3612</v>
      </c>
      <c r="B3134" s="1" t="s">
        <v>3869</v>
      </c>
      <c r="C3134" s="2" t="s">
        <v>3428</v>
      </c>
      <c r="D3134" s="1">
        <v>153</v>
      </c>
      <c r="E3134">
        <v>2250</v>
      </c>
      <c r="F3134">
        <v>2500</v>
      </c>
      <c r="G3134">
        <v>2950</v>
      </c>
      <c r="H3134">
        <v>2975</v>
      </c>
    </row>
    <row r="3135" spans="1:8" x14ac:dyDescent="0.25">
      <c r="A3135" s="10">
        <v>3613</v>
      </c>
      <c r="B3135" s="1" t="s">
        <v>3869</v>
      </c>
      <c r="C3135" s="2" t="s">
        <v>3431</v>
      </c>
      <c r="D3135" s="1">
        <v>153</v>
      </c>
      <c r="E3135">
        <v>11000</v>
      </c>
      <c r="F3135">
        <v>12200</v>
      </c>
      <c r="G3135">
        <v>12750</v>
      </c>
      <c r="H3135">
        <v>12795</v>
      </c>
    </row>
    <row r="3136" spans="1:8" x14ac:dyDescent="0.25">
      <c r="A3136" s="10">
        <v>3614</v>
      </c>
      <c r="B3136" s="1" t="s">
        <v>3869</v>
      </c>
      <c r="C3136" s="2" t="s">
        <v>3427</v>
      </c>
      <c r="D3136" s="1">
        <v>153</v>
      </c>
    </row>
    <row r="3137" spans="1:8" x14ac:dyDescent="0.25">
      <c r="A3137" s="10">
        <v>3615</v>
      </c>
      <c r="B3137" s="1" t="s">
        <v>3869</v>
      </c>
      <c r="C3137" s="2" t="s">
        <v>3426</v>
      </c>
      <c r="D3137" s="1">
        <v>153</v>
      </c>
      <c r="E3137">
        <v>9002</v>
      </c>
      <c r="G3137">
        <v>11250</v>
      </c>
      <c r="H3137">
        <v>11275</v>
      </c>
    </row>
    <row r="3138" spans="1:8" x14ac:dyDescent="0.25">
      <c r="A3138" s="10">
        <v>3616</v>
      </c>
      <c r="B3138" s="1" t="s">
        <v>3869</v>
      </c>
      <c r="C3138" s="2" t="s">
        <v>3432</v>
      </c>
      <c r="D3138" s="1">
        <v>153</v>
      </c>
    </row>
    <row r="3140" spans="1:8" x14ac:dyDescent="0.25">
      <c r="A3140" s="10">
        <v>3617</v>
      </c>
      <c r="B3140" s="2" t="s">
        <v>3748</v>
      </c>
      <c r="C3140" s="2" t="s">
        <v>3735</v>
      </c>
      <c r="D3140" s="1" t="s">
        <v>3873</v>
      </c>
      <c r="E3140">
        <v>1820</v>
      </c>
      <c r="F3140">
        <v>2000</v>
      </c>
      <c r="G3140">
        <v>2200</v>
      </c>
      <c r="H3140">
        <v>2275</v>
      </c>
    </row>
    <row r="3141" spans="1:8" x14ac:dyDescent="0.25">
      <c r="A3141" s="10">
        <v>3618</v>
      </c>
      <c r="B3141" s="2" t="s">
        <v>3748</v>
      </c>
      <c r="C3141" s="2" t="s">
        <v>3736</v>
      </c>
      <c r="D3141" s="1">
        <v>154</v>
      </c>
    </row>
    <row r="3142" spans="1:8" x14ac:dyDescent="0.25">
      <c r="A3142" s="10">
        <v>3619</v>
      </c>
      <c r="B3142" s="2" t="s">
        <v>3748</v>
      </c>
      <c r="C3142" s="2" t="s">
        <v>3737</v>
      </c>
      <c r="D3142" s="1">
        <v>154</v>
      </c>
    </row>
    <row r="3143" spans="1:8" x14ac:dyDescent="0.25">
      <c r="A3143" s="10">
        <v>3620</v>
      </c>
      <c r="B3143" s="2" t="s">
        <v>3748</v>
      </c>
      <c r="C3143" s="2" t="s">
        <v>3738</v>
      </c>
      <c r="D3143" s="1">
        <v>154</v>
      </c>
    </row>
    <row r="3144" spans="1:8" x14ac:dyDescent="0.25">
      <c r="A3144" s="10">
        <v>3621</v>
      </c>
      <c r="B3144" s="2" t="s">
        <v>3748</v>
      </c>
      <c r="C3144" s="2" t="s">
        <v>3739</v>
      </c>
      <c r="D3144" s="1">
        <v>154</v>
      </c>
      <c r="E3144">
        <v>1545</v>
      </c>
      <c r="F3144">
        <v>1700</v>
      </c>
      <c r="G3144">
        <v>2000</v>
      </c>
      <c r="H3144">
        <v>2150</v>
      </c>
    </row>
    <row r="3145" spans="1:8" x14ac:dyDescent="0.25">
      <c r="A3145" s="10">
        <v>3622</v>
      </c>
      <c r="B3145" s="2" t="s">
        <v>3748</v>
      </c>
      <c r="C3145" s="2" t="s">
        <v>3740</v>
      </c>
      <c r="D3145" s="1">
        <v>154</v>
      </c>
    </row>
    <row r="3146" spans="1:8" x14ac:dyDescent="0.25">
      <c r="A3146" s="10">
        <v>3623</v>
      </c>
      <c r="B3146" s="2" t="s">
        <v>3748</v>
      </c>
      <c r="C3146" s="2" t="s">
        <v>3741</v>
      </c>
      <c r="D3146" s="1">
        <v>154</v>
      </c>
      <c r="E3146">
        <v>950</v>
      </c>
      <c r="F3146">
        <v>1000</v>
      </c>
      <c r="G3146">
        <v>1300</v>
      </c>
      <c r="H3146">
        <v>1375</v>
      </c>
    </row>
    <row r="3147" spans="1:8" x14ac:dyDescent="0.25">
      <c r="A3147" s="10">
        <v>3624</v>
      </c>
      <c r="B3147" s="2" t="s">
        <v>3748</v>
      </c>
      <c r="C3147" s="2" t="s">
        <v>3745</v>
      </c>
      <c r="D3147" s="1">
        <v>154</v>
      </c>
      <c r="E3147">
        <v>970</v>
      </c>
      <c r="F3147">
        <v>1000</v>
      </c>
      <c r="G3147">
        <v>1400</v>
      </c>
      <c r="H3147">
        <v>1475</v>
      </c>
    </row>
    <row r="3148" spans="1:8" x14ac:dyDescent="0.25">
      <c r="A3148" s="10">
        <v>3625</v>
      </c>
      <c r="B3148" s="2" t="s">
        <v>3748</v>
      </c>
      <c r="C3148" s="2" t="s">
        <v>3742</v>
      </c>
      <c r="D3148" s="1">
        <v>154</v>
      </c>
      <c r="E3148">
        <v>17</v>
      </c>
      <c r="F3148">
        <v>30</v>
      </c>
      <c r="G3148">
        <v>50</v>
      </c>
      <c r="H3148">
        <v>55</v>
      </c>
    </row>
    <row r="3149" spans="1:8" x14ac:dyDescent="0.25">
      <c r="A3149" s="10">
        <v>3626</v>
      </c>
      <c r="B3149" s="2" t="s">
        <v>3748</v>
      </c>
      <c r="C3149" s="2" t="s">
        <v>3743</v>
      </c>
      <c r="D3149" s="1">
        <v>154</v>
      </c>
      <c r="E3149">
        <v>80</v>
      </c>
      <c r="F3149">
        <v>100</v>
      </c>
      <c r="G3149">
        <v>150</v>
      </c>
      <c r="H3149">
        <v>163</v>
      </c>
    </row>
    <row r="3150" spans="1:8" x14ac:dyDescent="0.25">
      <c r="A3150" s="10">
        <v>3627</v>
      </c>
      <c r="B3150" s="2" t="s">
        <v>3748</v>
      </c>
      <c r="C3150" s="2" t="s">
        <v>3744</v>
      </c>
      <c r="D3150" s="1">
        <v>154</v>
      </c>
      <c r="E3150">
        <v>165</v>
      </c>
      <c r="F3150">
        <v>180</v>
      </c>
      <c r="G3150">
        <v>250</v>
      </c>
      <c r="H3150">
        <v>260</v>
      </c>
    </row>
    <row r="3151" spans="1:8" x14ac:dyDescent="0.25">
      <c r="A3151" s="10">
        <v>3628</v>
      </c>
      <c r="B3151" s="2" t="s">
        <v>3748</v>
      </c>
      <c r="C3151" s="2" t="s">
        <v>3746</v>
      </c>
      <c r="D3151" s="1">
        <v>154</v>
      </c>
      <c r="E3151">
        <v>220</v>
      </c>
      <c r="F3151">
        <v>250</v>
      </c>
      <c r="G3151">
        <v>280</v>
      </c>
      <c r="H3151">
        <v>295</v>
      </c>
    </row>
    <row r="3152" spans="1:8" x14ac:dyDescent="0.25">
      <c r="A3152" s="10">
        <v>3629</v>
      </c>
      <c r="B3152" s="2" t="s">
        <v>3748</v>
      </c>
      <c r="C3152" s="2" t="s">
        <v>3747</v>
      </c>
      <c r="D3152" s="1">
        <v>154</v>
      </c>
      <c r="E3152">
        <v>20</v>
      </c>
      <c r="F3152">
        <v>50</v>
      </c>
      <c r="G3152">
        <v>100</v>
      </c>
      <c r="H3152">
        <v>105</v>
      </c>
    </row>
    <row r="3154" spans="1:8" x14ac:dyDescent="0.25">
      <c r="A3154" s="10">
        <v>3630</v>
      </c>
      <c r="B3154" s="3" t="s">
        <v>3866</v>
      </c>
      <c r="C3154" s="2" t="s">
        <v>3749</v>
      </c>
      <c r="D3154" s="2" t="s">
        <v>3874</v>
      </c>
      <c r="E3154">
        <v>410.5</v>
      </c>
      <c r="F3154">
        <f>SUM(E3154+20)</f>
        <v>430.5</v>
      </c>
      <c r="G3154">
        <v>480</v>
      </c>
      <c r="H3154">
        <v>547</v>
      </c>
    </row>
    <row r="3155" spans="1:8" x14ac:dyDescent="0.25">
      <c r="A3155" s="10">
        <v>3631</v>
      </c>
      <c r="B3155" s="3" t="s">
        <v>3866</v>
      </c>
      <c r="C3155" s="2" t="s">
        <v>3750</v>
      </c>
      <c r="D3155" s="2">
        <v>155</v>
      </c>
      <c r="E3155">
        <v>615.75</v>
      </c>
      <c r="F3155">
        <f t="shared" ref="F3155:F3163" si="74">SUM(E3155+20)</f>
        <v>635.75</v>
      </c>
      <c r="G3155">
        <v>750</v>
      </c>
      <c r="H3155">
        <v>821</v>
      </c>
    </row>
    <row r="3156" spans="1:8" x14ac:dyDescent="0.25">
      <c r="A3156" s="10">
        <v>3632</v>
      </c>
      <c r="B3156" s="3" t="s">
        <v>3866</v>
      </c>
      <c r="C3156" s="2" t="s">
        <v>3751</v>
      </c>
      <c r="D3156" s="2">
        <v>155</v>
      </c>
      <c r="E3156">
        <v>893.25</v>
      </c>
      <c r="F3156">
        <f t="shared" si="74"/>
        <v>913.25</v>
      </c>
      <c r="G3156">
        <v>1000</v>
      </c>
      <c r="H3156">
        <v>1191</v>
      </c>
    </row>
    <row r="3157" spans="1:8" x14ac:dyDescent="0.25">
      <c r="A3157" s="10">
        <v>3633</v>
      </c>
      <c r="B3157" s="3" t="s">
        <v>3866</v>
      </c>
      <c r="C3157" s="2" t="s">
        <v>3752</v>
      </c>
      <c r="D3157" s="2">
        <v>155</v>
      </c>
    </row>
    <row r="3158" spans="1:8" x14ac:dyDescent="0.25">
      <c r="A3158" s="10">
        <v>3634</v>
      </c>
      <c r="B3158" s="3" t="s">
        <v>3866</v>
      </c>
      <c r="C3158" s="2" t="s">
        <v>3753</v>
      </c>
      <c r="D3158" s="2">
        <v>155</v>
      </c>
      <c r="E3158">
        <v>1500</v>
      </c>
      <c r="F3158">
        <f t="shared" si="74"/>
        <v>1520</v>
      </c>
      <c r="G3158">
        <v>1750</v>
      </c>
      <c r="H3158">
        <v>1975</v>
      </c>
    </row>
    <row r="3159" spans="1:8" x14ac:dyDescent="0.25">
      <c r="A3159" s="10">
        <v>3635</v>
      </c>
      <c r="B3159" s="3" t="s">
        <v>3866</v>
      </c>
      <c r="C3159" s="2" t="s">
        <v>3754</v>
      </c>
      <c r="D3159" s="2">
        <v>155</v>
      </c>
      <c r="E3159">
        <v>848.25</v>
      </c>
      <c r="F3159">
        <f t="shared" si="74"/>
        <v>868.25</v>
      </c>
      <c r="G3159">
        <v>1000</v>
      </c>
      <c r="H3159">
        <v>1131</v>
      </c>
    </row>
    <row r="3160" spans="1:8" x14ac:dyDescent="0.25">
      <c r="A3160" s="10">
        <v>3636</v>
      </c>
      <c r="B3160" s="3" t="s">
        <v>3866</v>
      </c>
      <c r="C3160" s="2" t="s">
        <v>3755</v>
      </c>
      <c r="D3160" s="2">
        <v>155</v>
      </c>
      <c r="E3160">
        <v>519.75</v>
      </c>
      <c r="F3160">
        <f t="shared" si="74"/>
        <v>539.75</v>
      </c>
      <c r="G3160">
        <v>620</v>
      </c>
      <c r="H3160">
        <v>693</v>
      </c>
    </row>
    <row r="3161" spans="1:8" x14ac:dyDescent="0.25">
      <c r="A3161" s="10">
        <v>3637</v>
      </c>
      <c r="B3161" s="3" t="s">
        <v>3866</v>
      </c>
      <c r="C3161" s="2" t="s">
        <v>3756</v>
      </c>
      <c r="D3161" s="2">
        <v>155</v>
      </c>
      <c r="E3161">
        <v>1238.25</v>
      </c>
      <c r="F3161">
        <f t="shared" si="74"/>
        <v>1258.25</v>
      </c>
      <c r="G3161">
        <v>1480</v>
      </c>
      <c r="H3161">
        <v>1651</v>
      </c>
    </row>
    <row r="3162" spans="1:8" x14ac:dyDescent="0.25">
      <c r="A3162" s="10">
        <v>3638</v>
      </c>
      <c r="B3162" s="3" t="s">
        <v>3866</v>
      </c>
      <c r="C3162" s="2" t="s">
        <v>3762</v>
      </c>
      <c r="D3162" s="2">
        <v>155</v>
      </c>
      <c r="E3162">
        <v>478</v>
      </c>
      <c r="F3162">
        <f t="shared" si="74"/>
        <v>498</v>
      </c>
      <c r="G3162">
        <v>850</v>
      </c>
      <c r="H3162">
        <v>995</v>
      </c>
    </row>
    <row r="3163" spans="1:8" x14ac:dyDescent="0.25">
      <c r="A3163" s="10">
        <v>3639</v>
      </c>
      <c r="B3163" s="3" t="s">
        <v>3866</v>
      </c>
      <c r="C3163" s="2" t="s">
        <v>3764</v>
      </c>
      <c r="D3163" s="2">
        <v>155</v>
      </c>
      <c r="E3163">
        <v>1250.25</v>
      </c>
      <c r="F3163">
        <f t="shared" si="74"/>
        <v>1270.25</v>
      </c>
      <c r="G3163">
        <v>1500</v>
      </c>
      <c r="H3163">
        <v>1667</v>
      </c>
    </row>
    <row r="3165" spans="1:8" x14ac:dyDescent="0.25">
      <c r="A3165" s="10">
        <v>3640</v>
      </c>
      <c r="B3165" s="3" t="s">
        <v>3867</v>
      </c>
      <c r="C3165" s="2" t="s">
        <v>3757</v>
      </c>
      <c r="D3165" s="23" t="s">
        <v>3875</v>
      </c>
      <c r="E3165">
        <v>378.75</v>
      </c>
      <c r="F3165">
        <f>SUM(E3165+20)</f>
        <v>398.75</v>
      </c>
      <c r="G3165">
        <v>450</v>
      </c>
      <c r="H3165">
        <v>505</v>
      </c>
    </row>
    <row r="3166" spans="1:8" x14ac:dyDescent="0.25">
      <c r="A3166" s="10">
        <v>3641</v>
      </c>
      <c r="B3166" s="3" t="s">
        <v>3867</v>
      </c>
      <c r="C3166" s="2" t="s">
        <v>3763</v>
      </c>
      <c r="D3166" s="1">
        <v>156</v>
      </c>
      <c r="E3166">
        <v>956.25</v>
      </c>
      <c r="F3166">
        <f t="shared" ref="F3166:F3176" si="75">SUM(E3166+20)</f>
        <v>976.25</v>
      </c>
      <c r="G3166">
        <v>1150</v>
      </c>
      <c r="H3166">
        <v>1275</v>
      </c>
    </row>
    <row r="3167" spans="1:8" x14ac:dyDescent="0.25">
      <c r="A3167" s="10">
        <v>3642</v>
      </c>
      <c r="B3167" s="3" t="s">
        <v>3867</v>
      </c>
      <c r="C3167" s="2" t="s">
        <v>3758</v>
      </c>
      <c r="D3167" s="1">
        <v>156</v>
      </c>
      <c r="E3167">
        <v>956.25</v>
      </c>
      <c r="F3167">
        <f t="shared" si="75"/>
        <v>976.25</v>
      </c>
      <c r="G3167">
        <v>1150</v>
      </c>
      <c r="H3167">
        <v>1275</v>
      </c>
    </row>
    <row r="3168" spans="1:8" x14ac:dyDescent="0.25">
      <c r="A3168" s="10">
        <v>3643</v>
      </c>
      <c r="B3168" s="3" t="s">
        <v>3867</v>
      </c>
      <c r="C3168" s="2" t="s">
        <v>3775</v>
      </c>
      <c r="D3168" s="1">
        <v>156</v>
      </c>
      <c r="E3168">
        <v>956.25</v>
      </c>
      <c r="F3168">
        <f t="shared" si="75"/>
        <v>976.25</v>
      </c>
      <c r="G3168">
        <v>1150</v>
      </c>
      <c r="H3168">
        <v>1275</v>
      </c>
    </row>
    <row r="3169" spans="1:8" x14ac:dyDescent="0.25">
      <c r="A3169" s="10">
        <v>3644</v>
      </c>
      <c r="B3169" s="3" t="s">
        <v>3867</v>
      </c>
      <c r="C3169" s="2" t="s">
        <v>3779</v>
      </c>
      <c r="D3169" s="1">
        <v>156</v>
      </c>
      <c r="E3169">
        <v>325</v>
      </c>
      <c r="F3169">
        <f t="shared" si="75"/>
        <v>345</v>
      </c>
      <c r="G3169">
        <v>600</v>
      </c>
      <c r="H3169">
        <v>675</v>
      </c>
    </row>
    <row r="3170" spans="1:8" x14ac:dyDescent="0.25">
      <c r="A3170" s="10">
        <v>3645</v>
      </c>
      <c r="B3170" s="3" t="s">
        <v>3867</v>
      </c>
      <c r="C3170" s="2" t="s">
        <v>3759</v>
      </c>
      <c r="D3170" s="1">
        <v>156</v>
      </c>
      <c r="E3170">
        <v>450</v>
      </c>
      <c r="F3170">
        <f t="shared" si="75"/>
        <v>470</v>
      </c>
      <c r="G3170">
        <v>700</v>
      </c>
      <c r="H3170">
        <v>795</v>
      </c>
    </row>
    <row r="3171" spans="1:8" x14ac:dyDescent="0.25">
      <c r="A3171" s="10">
        <v>3646</v>
      </c>
      <c r="B3171" s="3" t="s">
        <v>3867</v>
      </c>
      <c r="C3171" s="2" t="s">
        <v>3760</v>
      </c>
      <c r="D3171" s="1">
        <v>156</v>
      </c>
      <c r="E3171">
        <v>385</v>
      </c>
      <c r="F3171">
        <f t="shared" si="75"/>
        <v>405</v>
      </c>
      <c r="G3171">
        <v>620</v>
      </c>
      <c r="H3171">
        <v>695</v>
      </c>
    </row>
    <row r="3172" spans="1:8" x14ac:dyDescent="0.25">
      <c r="A3172" s="10">
        <v>3647</v>
      </c>
      <c r="B3172" s="3" t="s">
        <v>3867</v>
      </c>
      <c r="C3172" s="2" t="s">
        <v>3761</v>
      </c>
      <c r="D3172" s="1">
        <v>156</v>
      </c>
      <c r="E3172">
        <v>350</v>
      </c>
      <c r="F3172">
        <f t="shared" si="75"/>
        <v>370</v>
      </c>
      <c r="G3172">
        <v>600</v>
      </c>
      <c r="H3172">
        <v>675</v>
      </c>
    </row>
    <row r="3173" spans="1:8" x14ac:dyDescent="0.25">
      <c r="A3173" s="10">
        <v>3648</v>
      </c>
      <c r="B3173" s="3" t="s">
        <v>3867</v>
      </c>
      <c r="C3173" s="2" t="s">
        <v>3765</v>
      </c>
      <c r="D3173" s="1">
        <v>156</v>
      </c>
      <c r="E3173">
        <v>448</v>
      </c>
      <c r="F3173">
        <f t="shared" si="75"/>
        <v>468</v>
      </c>
      <c r="G3173">
        <v>600</v>
      </c>
      <c r="H3173">
        <v>675</v>
      </c>
    </row>
    <row r="3174" spans="1:8" x14ac:dyDescent="0.25">
      <c r="A3174" s="10">
        <v>3649</v>
      </c>
      <c r="B3174" s="3" t="s">
        <v>3867</v>
      </c>
      <c r="C3174" s="2" t="s">
        <v>3765</v>
      </c>
      <c r="D3174" s="1">
        <v>156</v>
      </c>
      <c r="E3174">
        <v>350</v>
      </c>
      <c r="F3174">
        <f t="shared" si="75"/>
        <v>370</v>
      </c>
      <c r="G3174">
        <v>450</v>
      </c>
      <c r="H3174">
        <v>495</v>
      </c>
    </row>
    <row r="3175" spans="1:8" x14ac:dyDescent="0.25">
      <c r="A3175" s="10">
        <v>3650</v>
      </c>
      <c r="B3175" s="3" t="s">
        <v>3867</v>
      </c>
      <c r="C3175" s="2" t="s">
        <v>3766</v>
      </c>
      <c r="D3175" s="1">
        <v>156</v>
      </c>
      <c r="E3175">
        <v>285</v>
      </c>
      <c r="F3175">
        <f t="shared" si="75"/>
        <v>305</v>
      </c>
      <c r="G3175">
        <v>350</v>
      </c>
      <c r="H3175">
        <v>380</v>
      </c>
    </row>
    <row r="3176" spans="1:8" x14ac:dyDescent="0.25">
      <c r="A3176" s="10">
        <v>3651</v>
      </c>
      <c r="B3176" s="3" t="s">
        <v>3867</v>
      </c>
      <c r="C3176" s="2" t="s">
        <v>3767</v>
      </c>
      <c r="D3176" s="1">
        <v>156</v>
      </c>
      <c r="E3176">
        <v>250</v>
      </c>
      <c r="F3176">
        <f t="shared" si="75"/>
        <v>270</v>
      </c>
      <c r="G3176">
        <v>320</v>
      </c>
      <c r="H3176">
        <v>375</v>
      </c>
    </row>
    <row r="3177" spans="1:8" x14ac:dyDescent="0.25">
      <c r="A3177"/>
      <c r="B3177" s="3"/>
      <c r="C3177" s="2"/>
    </row>
    <row r="3178" spans="1:8" x14ac:dyDescent="0.25">
      <c r="A3178" s="10">
        <v>3652</v>
      </c>
      <c r="B3178" s="3" t="s">
        <v>3867</v>
      </c>
      <c r="C3178" s="2" t="s">
        <v>3768</v>
      </c>
      <c r="D3178" s="23" t="s">
        <v>3876</v>
      </c>
      <c r="G3178">
        <v>950</v>
      </c>
      <c r="H3178">
        <v>995</v>
      </c>
    </row>
    <row r="3179" spans="1:8" x14ac:dyDescent="0.25">
      <c r="A3179" s="10">
        <v>3653</v>
      </c>
      <c r="B3179" s="3" t="s">
        <v>3867</v>
      </c>
      <c r="C3179" s="2" t="s">
        <v>3769</v>
      </c>
      <c r="D3179" s="1">
        <v>157</v>
      </c>
      <c r="G3179">
        <v>850</v>
      </c>
      <c r="H3179">
        <v>875</v>
      </c>
    </row>
    <row r="3180" spans="1:8" x14ac:dyDescent="0.25">
      <c r="A3180" s="10">
        <v>3654</v>
      </c>
      <c r="B3180" s="3" t="s">
        <v>3867</v>
      </c>
      <c r="C3180" s="2" t="s">
        <v>3770</v>
      </c>
      <c r="D3180" s="1">
        <v>157</v>
      </c>
      <c r="G3180">
        <v>950</v>
      </c>
      <c r="H3180">
        <v>975</v>
      </c>
    </row>
    <row r="3181" spans="1:8" x14ac:dyDescent="0.25">
      <c r="A3181" s="10">
        <v>3655</v>
      </c>
      <c r="B3181" s="3" t="s">
        <v>3867</v>
      </c>
      <c r="C3181" s="2" t="s">
        <v>3771</v>
      </c>
      <c r="D3181" s="1">
        <v>157</v>
      </c>
      <c r="E3181">
        <v>600</v>
      </c>
      <c r="G3181">
        <v>950</v>
      </c>
      <c r="H3181">
        <v>975</v>
      </c>
    </row>
    <row r="3182" spans="1:8" x14ac:dyDescent="0.25">
      <c r="A3182" s="10">
        <v>3656</v>
      </c>
      <c r="B3182" s="3" t="s">
        <v>3867</v>
      </c>
      <c r="C3182" s="2" t="s">
        <v>3771</v>
      </c>
      <c r="D3182" s="1">
        <v>157</v>
      </c>
      <c r="E3182">
        <v>510</v>
      </c>
      <c r="G3182">
        <v>780</v>
      </c>
      <c r="H3182">
        <v>795</v>
      </c>
    </row>
    <row r="3183" spans="1:8" x14ac:dyDescent="0.25">
      <c r="A3183" s="10">
        <v>3657</v>
      </c>
      <c r="B3183" s="3" t="s">
        <v>3867</v>
      </c>
      <c r="C3183" s="2" t="s">
        <v>3772</v>
      </c>
      <c r="D3183" s="1">
        <v>157</v>
      </c>
      <c r="E3183">
        <v>633</v>
      </c>
      <c r="G3183">
        <v>950</v>
      </c>
      <c r="H3183">
        <v>975</v>
      </c>
    </row>
    <row r="3184" spans="1:8" x14ac:dyDescent="0.25">
      <c r="A3184" s="10">
        <v>3658</v>
      </c>
      <c r="B3184" s="3" t="s">
        <v>3867</v>
      </c>
      <c r="C3184" s="2" t="s">
        <v>3773</v>
      </c>
      <c r="D3184" s="1">
        <v>157</v>
      </c>
      <c r="E3184">
        <v>1372.5</v>
      </c>
      <c r="G3184">
        <v>1650</v>
      </c>
      <c r="H3184">
        <v>1830</v>
      </c>
    </row>
    <row r="3185" spans="1:8" x14ac:dyDescent="0.25">
      <c r="A3185" s="10">
        <v>3659</v>
      </c>
      <c r="B3185" s="3" t="s">
        <v>3867</v>
      </c>
      <c r="C3185" s="2" t="s">
        <v>3774</v>
      </c>
      <c r="D3185" s="1">
        <v>157</v>
      </c>
      <c r="G3185">
        <v>1450</v>
      </c>
      <c r="H3185">
        <v>1607</v>
      </c>
    </row>
    <row r="3186" spans="1:8" x14ac:dyDescent="0.25">
      <c r="A3186" s="10">
        <v>3660</v>
      </c>
      <c r="B3186" s="3" t="s">
        <v>3867</v>
      </c>
      <c r="C3186" s="2" t="s">
        <v>3776</v>
      </c>
      <c r="D3186" s="1">
        <v>157</v>
      </c>
      <c r="E3186">
        <v>1787.25</v>
      </c>
      <c r="G3186">
        <v>2150</v>
      </c>
      <c r="H3186">
        <v>2383</v>
      </c>
    </row>
    <row r="3188" spans="1:8" x14ac:dyDescent="0.25">
      <c r="A3188" s="10">
        <v>3661</v>
      </c>
      <c r="B3188" s="3" t="s">
        <v>3868</v>
      </c>
      <c r="C3188" s="2" t="s">
        <v>3792</v>
      </c>
      <c r="D3188" s="1" t="s">
        <v>3877</v>
      </c>
      <c r="E3188">
        <v>120</v>
      </c>
      <c r="F3188">
        <f>SUM(E3188+150)</f>
        <v>270</v>
      </c>
      <c r="G3188">
        <v>420</v>
      </c>
      <c r="H3188">
        <v>445</v>
      </c>
    </row>
    <row r="3189" spans="1:8" x14ac:dyDescent="0.25">
      <c r="A3189" s="10">
        <v>3662</v>
      </c>
      <c r="B3189" s="3" t="s">
        <v>3868</v>
      </c>
      <c r="C3189" s="2" t="s">
        <v>3782</v>
      </c>
      <c r="D3189" s="1">
        <v>158</v>
      </c>
      <c r="E3189">
        <v>290</v>
      </c>
      <c r="F3189">
        <f t="shared" ref="F3189:F3236" si="76">SUM(E3189+150)</f>
        <v>440</v>
      </c>
      <c r="G3189">
        <v>480</v>
      </c>
      <c r="H3189">
        <v>495</v>
      </c>
    </row>
    <row r="3190" spans="1:8" x14ac:dyDescent="0.25">
      <c r="A3190" s="10">
        <v>3663</v>
      </c>
      <c r="B3190" s="3" t="s">
        <v>3868</v>
      </c>
      <c r="C3190" s="2" t="s">
        <v>3783</v>
      </c>
      <c r="D3190" s="1">
        <v>158</v>
      </c>
      <c r="E3190">
        <v>110</v>
      </c>
      <c r="F3190">
        <f t="shared" si="76"/>
        <v>260</v>
      </c>
      <c r="G3190">
        <v>200</v>
      </c>
      <c r="H3190">
        <v>225</v>
      </c>
    </row>
    <row r="3191" spans="1:8" x14ac:dyDescent="0.25">
      <c r="A3191" s="10">
        <v>3664</v>
      </c>
      <c r="B3191" s="3" t="s">
        <v>3868</v>
      </c>
      <c r="C3191" s="2" t="s">
        <v>3784</v>
      </c>
      <c r="D3191" s="1">
        <v>158</v>
      </c>
      <c r="E3191">
        <v>750</v>
      </c>
      <c r="F3191">
        <f t="shared" si="76"/>
        <v>900</v>
      </c>
      <c r="G3191">
        <v>1750</v>
      </c>
      <c r="H3191">
        <v>1775</v>
      </c>
    </row>
    <row r="3192" spans="1:8" x14ac:dyDescent="0.25">
      <c r="A3192" s="10">
        <v>3665</v>
      </c>
      <c r="B3192" s="3" t="s">
        <v>3868</v>
      </c>
      <c r="C3192" s="2" t="s">
        <v>3815</v>
      </c>
      <c r="D3192" s="1">
        <v>158</v>
      </c>
      <c r="E3192">
        <v>280</v>
      </c>
      <c r="F3192">
        <f t="shared" si="76"/>
        <v>430</v>
      </c>
      <c r="G3192">
        <v>450</v>
      </c>
      <c r="H3192">
        <v>475</v>
      </c>
    </row>
    <row r="3193" spans="1:8" x14ac:dyDescent="0.25">
      <c r="A3193" s="10">
        <v>3666</v>
      </c>
      <c r="B3193" s="3" t="s">
        <v>3868</v>
      </c>
      <c r="C3193" s="2" t="s">
        <v>3796</v>
      </c>
      <c r="D3193" s="1">
        <v>158</v>
      </c>
      <c r="E3193">
        <v>950</v>
      </c>
      <c r="F3193">
        <f t="shared" si="76"/>
        <v>1100</v>
      </c>
      <c r="G3193">
        <v>2350</v>
      </c>
      <c r="H3193">
        <v>2375</v>
      </c>
    </row>
    <row r="3194" spans="1:8" x14ac:dyDescent="0.25">
      <c r="A3194" s="10">
        <v>3667</v>
      </c>
      <c r="B3194" s="3" t="s">
        <v>3868</v>
      </c>
      <c r="C3194" s="2" t="s">
        <v>3785</v>
      </c>
      <c r="D3194" s="1">
        <v>158</v>
      </c>
      <c r="E3194">
        <v>850</v>
      </c>
      <c r="F3194">
        <f t="shared" si="76"/>
        <v>1000</v>
      </c>
      <c r="G3194">
        <v>1250</v>
      </c>
      <c r="H3194">
        <v>1275</v>
      </c>
    </row>
    <row r="3195" spans="1:8" x14ac:dyDescent="0.25">
      <c r="A3195" s="10">
        <v>3668</v>
      </c>
      <c r="B3195" s="3" t="s">
        <v>3868</v>
      </c>
      <c r="C3195" s="2" t="s">
        <v>3786</v>
      </c>
      <c r="D3195" s="1">
        <v>158</v>
      </c>
      <c r="E3195">
        <v>800</v>
      </c>
      <c r="F3195">
        <f t="shared" si="76"/>
        <v>950</v>
      </c>
      <c r="G3195">
        <v>1350</v>
      </c>
      <c r="H3195">
        <v>1375</v>
      </c>
    </row>
    <row r="3196" spans="1:8" x14ac:dyDescent="0.25">
      <c r="A3196" s="10">
        <v>3669</v>
      </c>
      <c r="B3196" s="3" t="s">
        <v>3868</v>
      </c>
      <c r="C3196" s="2" t="s">
        <v>3787</v>
      </c>
      <c r="D3196" s="1">
        <v>158</v>
      </c>
      <c r="E3196">
        <v>1520</v>
      </c>
      <c r="F3196">
        <f t="shared" si="76"/>
        <v>1670</v>
      </c>
      <c r="G3196">
        <v>1950</v>
      </c>
      <c r="H3196">
        <v>1975</v>
      </c>
    </row>
    <row r="3197" spans="1:8" x14ac:dyDescent="0.25">
      <c r="A3197" s="10">
        <v>3670</v>
      </c>
      <c r="B3197" s="3" t="s">
        <v>3868</v>
      </c>
      <c r="C3197" s="2" t="s">
        <v>3788</v>
      </c>
      <c r="D3197" s="1">
        <v>158</v>
      </c>
      <c r="E3197">
        <v>556</v>
      </c>
      <c r="F3197">
        <f t="shared" si="76"/>
        <v>706</v>
      </c>
      <c r="G3197">
        <v>950</v>
      </c>
      <c r="H3197">
        <v>975</v>
      </c>
    </row>
    <row r="3198" spans="1:8" x14ac:dyDescent="0.25">
      <c r="A3198" s="10">
        <v>3671</v>
      </c>
      <c r="B3198" s="3" t="s">
        <v>3868</v>
      </c>
      <c r="C3198" s="2" t="s">
        <v>3817</v>
      </c>
      <c r="D3198" s="1">
        <v>158</v>
      </c>
      <c r="E3198">
        <v>750</v>
      </c>
      <c r="F3198">
        <f t="shared" si="76"/>
        <v>900</v>
      </c>
      <c r="G3198">
        <v>1250</v>
      </c>
      <c r="H3198">
        <v>1275</v>
      </c>
    </row>
    <row r="3199" spans="1:8" x14ac:dyDescent="0.25">
      <c r="A3199" s="10">
        <v>3672</v>
      </c>
      <c r="B3199" s="3" t="s">
        <v>3868</v>
      </c>
      <c r="C3199" s="2" t="s">
        <v>3818</v>
      </c>
      <c r="D3199" s="1">
        <v>158</v>
      </c>
      <c r="E3199">
        <v>1180</v>
      </c>
      <c r="F3199">
        <f t="shared" si="76"/>
        <v>1330</v>
      </c>
      <c r="G3199">
        <v>1650</v>
      </c>
      <c r="H3199">
        <v>1675</v>
      </c>
    </row>
    <row r="3200" spans="1:8" x14ac:dyDescent="0.25">
      <c r="A3200" s="10">
        <v>3673</v>
      </c>
      <c r="B3200" s="3" t="s">
        <v>3868</v>
      </c>
      <c r="C3200" s="2" t="s">
        <v>3817</v>
      </c>
      <c r="D3200" s="1">
        <v>158</v>
      </c>
      <c r="E3200">
        <v>1650</v>
      </c>
      <c r="F3200">
        <f t="shared" si="76"/>
        <v>1800</v>
      </c>
      <c r="G3200">
        <v>2350</v>
      </c>
      <c r="H3200">
        <v>2375</v>
      </c>
    </row>
    <row r="3201" spans="1:8" x14ac:dyDescent="0.25">
      <c r="A3201"/>
      <c r="B3201" s="3"/>
      <c r="C3201" s="2"/>
    </row>
    <row r="3202" spans="1:8" x14ac:dyDescent="0.25">
      <c r="A3202" s="10">
        <v>3674</v>
      </c>
      <c r="B3202" s="3" t="s">
        <v>3868</v>
      </c>
      <c r="C3202" s="2" t="s">
        <v>3794</v>
      </c>
      <c r="D3202" s="1">
        <v>158</v>
      </c>
      <c r="E3202">
        <v>990</v>
      </c>
      <c r="F3202">
        <f t="shared" si="76"/>
        <v>1140</v>
      </c>
      <c r="G3202">
        <v>2200</v>
      </c>
      <c r="H3202">
        <v>2375</v>
      </c>
    </row>
    <row r="3203" spans="1:8" x14ac:dyDescent="0.25">
      <c r="A3203" s="10">
        <v>3675</v>
      </c>
      <c r="B3203" s="3" t="s">
        <v>3868</v>
      </c>
      <c r="C3203" s="2" t="s">
        <v>3789</v>
      </c>
      <c r="D3203" s="1">
        <v>158</v>
      </c>
      <c r="E3203">
        <v>1450</v>
      </c>
      <c r="F3203">
        <f t="shared" si="76"/>
        <v>1600</v>
      </c>
      <c r="G3203">
        <v>1900</v>
      </c>
      <c r="H3203">
        <v>1975</v>
      </c>
    </row>
    <row r="3204" spans="1:8" x14ac:dyDescent="0.25">
      <c r="A3204" s="10">
        <v>3676</v>
      </c>
      <c r="B3204" s="3" t="s">
        <v>3868</v>
      </c>
      <c r="C3204" s="2" t="s">
        <v>3790</v>
      </c>
      <c r="D3204" s="1">
        <v>158</v>
      </c>
      <c r="E3204">
        <v>1450</v>
      </c>
      <c r="F3204">
        <f t="shared" si="76"/>
        <v>1600</v>
      </c>
      <c r="G3204">
        <v>1900</v>
      </c>
      <c r="H3204">
        <v>1975</v>
      </c>
    </row>
    <row r="3205" spans="1:8" x14ac:dyDescent="0.25">
      <c r="A3205" s="10">
        <v>3677</v>
      </c>
      <c r="B3205" s="3" t="s">
        <v>3868</v>
      </c>
      <c r="C3205" s="2" t="s">
        <v>3791</v>
      </c>
      <c r="D3205" s="1">
        <v>158</v>
      </c>
      <c r="E3205">
        <v>680</v>
      </c>
      <c r="F3205">
        <f t="shared" si="76"/>
        <v>830</v>
      </c>
      <c r="G3205">
        <v>950</v>
      </c>
      <c r="H3205">
        <v>975</v>
      </c>
    </row>
    <row r="3206" spans="1:8" x14ac:dyDescent="0.25">
      <c r="A3206" s="10">
        <v>3678</v>
      </c>
      <c r="B3206" s="3" t="s">
        <v>3868</v>
      </c>
      <c r="C3206" s="2" t="s">
        <v>3816</v>
      </c>
      <c r="D3206" s="1">
        <v>158</v>
      </c>
      <c r="E3206">
        <v>290</v>
      </c>
      <c r="F3206">
        <f t="shared" si="76"/>
        <v>440</v>
      </c>
      <c r="G3206">
        <v>480</v>
      </c>
      <c r="H3206">
        <v>495</v>
      </c>
    </row>
    <row r="3207" spans="1:8" x14ac:dyDescent="0.25">
      <c r="A3207" s="10">
        <v>3679</v>
      </c>
      <c r="B3207" s="3" t="s">
        <v>3868</v>
      </c>
      <c r="C3207" s="2" t="s">
        <v>3801</v>
      </c>
      <c r="D3207" s="1">
        <v>158</v>
      </c>
      <c r="E3207">
        <v>950</v>
      </c>
      <c r="F3207">
        <f t="shared" si="76"/>
        <v>1100</v>
      </c>
      <c r="G3207">
        <v>1300</v>
      </c>
      <c r="H3207">
        <v>1375</v>
      </c>
    </row>
    <row r="3208" spans="1:8" x14ac:dyDescent="0.25">
      <c r="A3208" s="10">
        <v>3680</v>
      </c>
      <c r="B3208" s="3" t="s">
        <v>3868</v>
      </c>
      <c r="C3208" s="2" t="s">
        <v>3802</v>
      </c>
      <c r="D3208" s="1">
        <v>158</v>
      </c>
      <c r="E3208">
        <v>635</v>
      </c>
      <c r="F3208">
        <f t="shared" si="76"/>
        <v>785</v>
      </c>
      <c r="G3208">
        <v>950</v>
      </c>
      <c r="H3208">
        <v>975</v>
      </c>
    </row>
    <row r="3209" spans="1:8" x14ac:dyDescent="0.25">
      <c r="A3209" s="10">
        <v>3681</v>
      </c>
      <c r="B3209" s="3" t="s">
        <v>3868</v>
      </c>
      <c r="C3209" s="2" t="s">
        <v>3803</v>
      </c>
      <c r="D3209" s="1">
        <v>158</v>
      </c>
      <c r="E3209">
        <v>480</v>
      </c>
      <c r="F3209">
        <f t="shared" si="76"/>
        <v>630</v>
      </c>
      <c r="G3209">
        <v>650</v>
      </c>
      <c r="H3209">
        <v>695</v>
      </c>
    </row>
    <row r="3210" spans="1:8" x14ac:dyDescent="0.25">
      <c r="A3210" s="10">
        <v>3682</v>
      </c>
      <c r="B3210" s="3" t="s">
        <v>3868</v>
      </c>
      <c r="C3210" s="2" t="s">
        <v>3804</v>
      </c>
      <c r="D3210" s="1">
        <v>158</v>
      </c>
      <c r="E3210">
        <v>450</v>
      </c>
      <c r="F3210">
        <f t="shared" si="76"/>
        <v>600</v>
      </c>
      <c r="G3210">
        <v>850</v>
      </c>
      <c r="H3210">
        <v>875</v>
      </c>
    </row>
    <row r="3211" spans="1:8" x14ac:dyDescent="0.25">
      <c r="A3211" s="10">
        <v>3683</v>
      </c>
      <c r="B3211" s="3" t="s">
        <v>3868</v>
      </c>
      <c r="C3211" s="2" t="s">
        <v>3805</v>
      </c>
      <c r="D3211" s="1">
        <v>158</v>
      </c>
    </row>
    <row r="3212" spans="1:8" x14ac:dyDescent="0.25">
      <c r="A3212" s="10">
        <v>3684</v>
      </c>
      <c r="B3212" s="3" t="s">
        <v>3868</v>
      </c>
      <c r="C3212" s="2" t="s">
        <v>3806</v>
      </c>
      <c r="D3212" s="1">
        <v>158</v>
      </c>
      <c r="E3212">
        <v>1050</v>
      </c>
      <c r="F3212">
        <f t="shared" si="76"/>
        <v>1200</v>
      </c>
      <c r="G3212">
        <v>1500</v>
      </c>
      <c r="H3212">
        <v>1575</v>
      </c>
    </row>
    <row r="3213" spans="1:8" x14ac:dyDescent="0.25">
      <c r="A3213" s="10">
        <v>3685</v>
      </c>
      <c r="B3213" s="3" t="s">
        <v>3868</v>
      </c>
      <c r="C3213" s="2" t="s">
        <v>3807</v>
      </c>
      <c r="D3213" s="1">
        <v>158</v>
      </c>
    </row>
    <row r="3214" spans="1:8" x14ac:dyDescent="0.25">
      <c r="A3214" s="10">
        <v>3686</v>
      </c>
      <c r="B3214" s="3" t="s">
        <v>3868</v>
      </c>
      <c r="C3214" s="2" t="s">
        <v>3793</v>
      </c>
      <c r="D3214" s="1">
        <v>158</v>
      </c>
      <c r="E3214">
        <v>780</v>
      </c>
      <c r="F3214">
        <f t="shared" si="76"/>
        <v>930</v>
      </c>
      <c r="G3214">
        <v>1300</v>
      </c>
      <c r="H3214">
        <v>1375</v>
      </c>
    </row>
    <row r="3215" spans="1:8" x14ac:dyDescent="0.25">
      <c r="A3215" s="10">
        <v>3687</v>
      </c>
      <c r="B3215" s="3" t="s">
        <v>3868</v>
      </c>
      <c r="C3215" s="2" t="s">
        <v>3795</v>
      </c>
      <c r="D3215" s="1">
        <v>158</v>
      </c>
      <c r="E3215">
        <v>6580</v>
      </c>
      <c r="F3215">
        <f t="shared" si="76"/>
        <v>6730</v>
      </c>
      <c r="G3215">
        <v>9500</v>
      </c>
      <c r="H3215">
        <v>9750</v>
      </c>
    </row>
    <row r="3216" spans="1:8" x14ac:dyDescent="0.25">
      <c r="A3216" s="10">
        <v>3688</v>
      </c>
      <c r="B3216" s="3" t="s">
        <v>3868</v>
      </c>
      <c r="C3216" s="2" t="s">
        <v>3797</v>
      </c>
      <c r="D3216" s="1">
        <v>158</v>
      </c>
      <c r="E3216">
        <v>1250</v>
      </c>
      <c r="F3216">
        <f t="shared" si="76"/>
        <v>1400</v>
      </c>
      <c r="G3216">
        <v>1800</v>
      </c>
      <c r="H3216">
        <v>1875</v>
      </c>
    </row>
    <row r="3217" spans="1:8" x14ac:dyDescent="0.25">
      <c r="A3217" s="10">
        <v>3689</v>
      </c>
      <c r="B3217" s="3" t="s">
        <v>3868</v>
      </c>
      <c r="C3217" s="2" t="s">
        <v>3798</v>
      </c>
      <c r="D3217" s="1">
        <v>158</v>
      </c>
      <c r="E3217">
        <v>1260</v>
      </c>
      <c r="F3217">
        <f t="shared" si="76"/>
        <v>1410</v>
      </c>
      <c r="G3217">
        <v>1900</v>
      </c>
      <c r="H3217">
        <v>1975</v>
      </c>
    </row>
    <row r="3218" spans="1:8" x14ac:dyDescent="0.25">
      <c r="A3218" s="10">
        <v>3690</v>
      </c>
      <c r="B3218" s="3" t="s">
        <v>3868</v>
      </c>
      <c r="C3218" s="2" t="s">
        <v>3799</v>
      </c>
      <c r="D3218" s="1">
        <v>158</v>
      </c>
      <c r="E3218">
        <v>1200</v>
      </c>
      <c r="F3218">
        <f t="shared" si="76"/>
        <v>1350</v>
      </c>
      <c r="G3218">
        <v>1700</v>
      </c>
      <c r="H3218">
        <v>1775</v>
      </c>
    </row>
    <row r="3219" spans="1:8" x14ac:dyDescent="0.25">
      <c r="A3219" s="10">
        <v>3691</v>
      </c>
      <c r="B3219" s="3" t="s">
        <v>3868</v>
      </c>
      <c r="C3219" s="2" t="s">
        <v>3800</v>
      </c>
      <c r="D3219" s="1">
        <v>158</v>
      </c>
      <c r="E3219">
        <v>2880</v>
      </c>
      <c r="F3219">
        <f t="shared" si="76"/>
        <v>3030</v>
      </c>
      <c r="G3219">
        <v>3900</v>
      </c>
      <c r="H3219">
        <v>3975</v>
      </c>
    </row>
    <row r="3220" spans="1:8" x14ac:dyDescent="0.25">
      <c r="A3220" s="10">
        <v>3692</v>
      </c>
      <c r="B3220" s="3" t="s">
        <v>3868</v>
      </c>
      <c r="C3220" s="2" t="s">
        <v>3808</v>
      </c>
      <c r="D3220" s="1">
        <v>158</v>
      </c>
      <c r="E3220">
        <v>1100</v>
      </c>
      <c r="F3220">
        <f t="shared" si="76"/>
        <v>1250</v>
      </c>
      <c r="G3220">
        <v>1400</v>
      </c>
      <c r="H3220">
        <v>1475</v>
      </c>
    </row>
    <row r="3221" spans="1:8" x14ac:dyDescent="0.25">
      <c r="A3221" s="10">
        <v>3693</v>
      </c>
      <c r="B3221" s="3" t="s">
        <v>3868</v>
      </c>
      <c r="C3221" s="2" t="s">
        <v>3810</v>
      </c>
      <c r="D3221" s="1">
        <v>158</v>
      </c>
      <c r="E3221">
        <v>625</v>
      </c>
      <c r="F3221">
        <f t="shared" si="76"/>
        <v>775</v>
      </c>
      <c r="G3221">
        <v>1100</v>
      </c>
      <c r="H3221">
        <v>1175</v>
      </c>
    </row>
    <row r="3222" spans="1:8" x14ac:dyDescent="0.25">
      <c r="A3222" s="10">
        <v>3694</v>
      </c>
      <c r="B3222" s="3" t="s">
        <v>3868</v>
      </c>
      <c r="C3222" s="2" t="s">
        <v>3809</v>
      </c>
      <c r="D3222" s="1">
        <v>158</v>
      </c>
      <c r="E3222">
        <v>1000</v>
      </c>
      <c r="F3222">
        <f t="shared" si="76"/>
        <v>1150</v>
      </c>
      <c r="G3222">
        <v>1300</v>
      </c>
      <c r="H3222">
        <v>1350</v>
      </c>
    </row>
    <row r="3223" spans="1:8" x14ac:dyDescent="0.25">
      <c r="A3223" s="10">
        <v>3695</v>
      </c>
      <c r="B3223" s="3" t="s">
        <v>3868</v>
      </c>
      <c r="C3223" s="2" t="s">
        <v>3814</v>
      </c>
      <c r="D3223" s="1">
        <v>158</v>
      </c>
      <c r="E3223">
        <v>340</v>
      </c>
      <c r="F3223">
        <f t="shared" si="76"/>
        <v>490</v>
      </c>
      <c r="G3223">
        <v>580</v>
      </c>
      <c r="H3223">
        <v>590</v>
      </c>
    </row>
    <row r="3224" spans="1:8" x14ac:dyDescent="0.25">
      <c r="A3224" s="10">
        <v>3696</v>
      </c>
      <c r="B3224" s="3" t="s">
        <v>3868</v>
      </c>
      <c r="C3224" s="2" t="s">
        <v>3811</v>
      </c>
      <c r="D3224" s="1">
        <v>158</v>
      </c>
      <c r="E3224">
        <v>700</v>
      </c>
      <c r="F3224">
        <f t="shared" si="76"/>
        <v>850</v>
      </c>
      <c r="G3224">
        <v>1300</v>
      </c>
      <c r="H3224">
        <v>1375</v>
      </c>
    </row>
    <row r="3225" spans="1:8" x14ac:dyDescent="0.25">
      <c r="A3225" s="10">
        <v>3697</v>
      </c>
      <c r="B3225" s="3" t="s">
        <v>3868</v>
      </c>
      <c r="C3225" s="2" t="s">
        <v>3812</v>
      </c>
      <c r="D3225" s="1">
        <v>158</v>
      </c>
      <c r="E3225">
        <v>720</v>
      </c>
      <c r="F3225">
        <f t="shared" si="76"/>
        <v>870</v>
      </c>
      <c r="G3225">
        <v>1200</v>
      </c>
      <c r="H3225">
        <v>1275</v>
      </c>
    </row>
    <row r="3226" spans="1:8" x14ac:dyDescent="0.25">
      <c r="A3226" s="10">
        <v>3698</v>
      </c>
      <c r="B3226" s="3" t="s">
        <v>3868</v>
      </c>
      <c r="C3226" s="2" t="s">
        <v>3813</v>
      </c>
      <c r="D3226" s="1">
        <v>158</v>
      </c>
      <c r="E3226">
        <v>650</v>
      </c>
      <c r="F3226">
        <f t="shared" si="76"/>
        <v>800</v>
      </c>
      <c r="G3226">
        <v>950</v>
      </c>
      <c r="H3226">
        <v>975</v>
      </c>
    </row>
    <row r="3227" spans="1:8" x14ac:dyDescent="0.25">
      <c r="A3227" s="10">
        <v>3699</v>
      </c>
      <c r="B3227" s="3" t="s">
        <v>3868</v>
      </c>
      <c r="C3227" s="2" t="s">
        <v>3848</v>
      </c>
      <c r="D3227" s="1">
        <v>158</v>
      </c>
      <c r="E3227">
        <v>8350</v>
      </c>
      <c r="F3227">
        <f t="shared" si="76"/>
        <v>8500</v>
      </c>
      <c r="G3227">
        <v>9800</v>
      </c>
      <c r="H3227">
        <v>9950</v>
      </c>
    </row>
    <row r="3228" spans="1:8" x14ac:dyDescent="0.25">
      <c r="A3228" s="10">
        <v>3700</v>
      </c>
      <c r="B3228" s="3" t="s">
        <v>3868</v>
      </c>
      <c r="C3228" s="2" t="s">
        <v>3853</v>
      </c>
      <c r="D3228" s="1">
        <v>158</v>
      </c>
      <c r="E3228">
        <v>8350</v>
      </c>
      <c r="F3228">
        <f t="shared" si="76"/>
        <v>8500</v>
      </c>
      <c r="G3228">
        <v>9800</v>
      </c>
      <c r="H3228">
        <v>9950</v>
      </c>
    </row>
    <row r="3229" spans="1:8" x14ac:dyDescent="0.25">
      <c r="A3229" s="10">
        <v>3701</v>
      </c>
      <c r="B3229" s="3" t="s">
        <v>3868</v>
      </c>
      <c r="C3229" s="2" t="s">
        <v>3852</v>
      </c>
      <c r="D3229" s="1">
        <v>158</v>
      </c>
      <c r="E3229">
        <v>10500</v>
      </c>
      <c r="F3229">
        <f t="shared" si="76"/>
        <v>10650</v>
      </c>
      <c r="G3229">
        <v>11800</v>
      </c>
      <c r="H3229">
        <v>11975</v>
      </c>
    </row>
    <row r="3230" spans="1:8" x14ac:dyDescent="0.25">
      <c r="A3230" s="10">
        <v>3702</v>
      </c>
      <c r="B3230" s="3" t="s">
        <v>3868</v>
      </c>
      <c r="C3230" s="2" t="s">
        <v>3851</v>
      </c>
      <c r="D3230" s="1">
        <v>158</v>
      </c>
      <c r="E3230">
        <v>9600</v>
      </c>
      <c r="F3230">
        <f t="shared" si="76"/>
        <v>9750</v>
      </c>
      <c r="G3230">
        <v>10800</v>
      </c>
      <c r="H3230">
        <v>10950</v>
      </c>
    </row>
    <row r="3231" spans="1:8" x14ac:dyDescent="0.25">
      <c r="A3231" s="10">
        <v>3703</v>
      </c>
      <c r="B3231" s="3" t="s">
        <v>3868</v>
      </c>
      <c r="C3231" s="16" t="s">
        <v>3849</v>
      </c>
      <c r="D3231" s="1">
        <v>158</v>
      </c>
      <c r="E3231">
        <v>10000</v>
      </c>
      <c r="F3231">
        <f t="shared" si="76"/>
        <v>10150</v>
      </c>
      <c r="G3231">
        <v>11800</v>
      </c>
      <c r="H3231">
        <v>11950</v>
      </c>
    </row>
    <row r="3232" spans="1:8" x14ac:dyDescent="0.25">
      <c r="A3232" s="10">
        <v>3704</v>
      </c>
      <c r="B3232" s="3" t="s">
        <v>3868</v>
      </c>
      <c r="C3232" s="16" t="s">
        <v>3850</v>
      </c>
      <c r="D3232" s="1">
        <v>158</v>
      </c>
      <c r="E3232">
        <v>10000</v>
      </c>
      <c r="F3232">
        <f t="shared" si="76"/>
        <v>10150</v>
      </c>
      <c r="G3232">
        <v>11800</v>
      </c>
      <c r="H3232">
        <v>11950</v>
      </c>
    </row>
    <row r="3233" spans="1:8" x14ac:dyDescent="0.25">
      <c r="A3233" s="10">
        <v>3705</v>
      </c>
      <c r="B3233" s="3" t="s">
        <v>3868</v>
      </c>
      <c r="C3233" s="2" t="s">
        <v>3854</v>
      </c>
      <c r="D3233" s="1">
        <v>158</v>
      </c>
      <c r="E3233">
        <v>9900</v>
      </c>
      <c r="F3233">
        <f t="shared" si="76"/>
        <v>10050</v>
      </c>
      <c r="G3233">
        <v>12500</v>
      </c>
      <c r="H3233">
        <v>12750</v>
      </c>
    </row>
    <row r="3234" spans="1:8" x14ac:dyDescent="0.25">
      <c r="A3234" s="10">
        <v>3706</v>
      </c>
      <c r="B3234" s="3" t="s">
        <v>3868</v>
      </c>
      <c r="C3234" s="2" t="s">
        <v>3855</v>
      </c>
      <c r="D3234" s="1">
        <v>158</v>
      </c>
    </row>
    <row r="3235" spans="1:8" x14ac:dyDescent="0.25">
      <c r="A3235" s="10">
        <v>3707</v>
      </c>
      <c r="B3235" s="3" t="s">
        <v>3868</v>
      </c>
      <c r="C3235" s="2" t="s">
        <v>3857</v>
      </c>
      <c r="D3235" s="1">
        <v>158</v>
      </c>
      <c r="E3235">
        <v>3900</v>
      </c>
      <c r="F3235">
        <f t="shared" si="76"/>
        <v>4050</v>
      </c>
      <c r="G3235">
        <v>4500</v>
      </c>
      <c r="H3235">
        <v>4650</v>
      </c>
    </row>
    <row r="3236" spans="1:8" x14ac:dyDescent="0.25">
      <c r="A3236" s="10">
        <v>3708</v>
      </c>
      <c r="B3236" s="3" t="s">
        <v>3868</v>
      </c>
      <c r="C3236" s="2" t="s">
        <v>3856</v>
      </c>
      <c r="D3236" s="1">
        <v>158</v>
      </c>
      <c r="E3236">
        <v>4100</v>
      </c>
      <c r="F3236">
        <f t="shared" si="76"/>
        <v>4250</v>
      </c>
      <c r="G3236">
        <v>4800</v>
      </c>
      <c r="H3236">
        <v>4950</v>
      </c>
    </row>
    <row r="3237" spans="1:8" x14ac:dyDescent="0.25">
      <c r="A3237" s="10">
        <v>3709</v>
      </c>
      <c r="B3237" t="s">
        <v>349</v>
      </c>
      <c r="C3237" s="2" t="s">
        <v>348</v>
      </c>
      <c r="D3237" s="1">
        <v>158</v>
      </c>
      <c r="F3237">
        <v>3600</v>
      </c>
      <c r="G3237">
        <v>3800</v>
      </c>
      <c r="H3237">
        <v>3950</v>
      </c>
    </row>
    <row r="3240" spans="1:8" x14ac:dyDescent="0.25">
      <c r="A3240" s="10">
        <v>3710</v>
      </c>
      <c r="B3240" s="1" t="s">
        <v>4348</v>
      </c>
      <c r="C3240" s="2" t="s">
        <v>3376</v>
      </c>
      <c r="D3240" s="1" t="s">
        <v>3878</v>
      </c>
      <c r="E3240">
        <v>316</v>
      </c>
      <c r="F3240">
        <v>300</v>
      </c>
      <c r="G3240">
        <v>320</v>
      </c>
      <c r="H3240">
        <v>330</v>
      </c>
    </row>
    <row r="3241" spans="1:8" x14ac:dyDescent="0.25">
      <c r="A3241" s="10">
        <v>3711</v>
      </c>
      <c r="B3241" s="1" t="s">
        <v>4348</v>
      </c>
      <c r="C3241" s="2" t="s">
        <v>3248</v>
      </c>
      <c r="D3241" s="1">
        <v>159</v>
      </c>
      <c r="E3241">
        <v>242</v>
      </c>
      <c r="F3241">
        <v>250</v>
      </c>
      <c r="G3241">
        <v>250</v>
      </c>
      <c r="H3241">
        <v>255</v>
      </c>
    </row>
    <row r="3242" spans="1:8" x14ac:dyDescent="0.25">
      <c r="A3242" s="10">
        <v>3712</v>
      </c>
      <c r="B3242" s="1" t="s">
        <v>4348</v>
      </c>
      <c r="C3242" s="2" t="s">
        <v>3377</v>
      </c>
      <c r="D3242" s="1">
        <v>159</v>
      </c>
      <c r="E3242">
        <v>270</v>
      </c>
      <c r="F3242">
        <v>270</v>
      </c>
      <c r="G3242">
        <v>290</v>
      </c>
      <c r="H3242">
        <v>320</v>
      </c>
    </row>
    <row r="3243" spans="1:8" x14ac:dyDescent="0.25">
      <c r="A3243" s="10">
        <v>3713</v>
      </c>
      <c r="B3243" s="1" t="s">
        <v>4348</v>
      </c>
      <c r="C3243" s="2" t="s">
        <v>3252</v>
      </c>
      <c r="D3243" s="1">
        <v>159</v>
      </c>
      <c r="E3243">
        <v>355</v>
      </c>
      <c r="F3243">
        <v>360</v>
      </c>
      <c r="G3243">
        <v>370</v>
      </c>
      <c r="H3243">
        <v>385</v>
      </c>
    </row>
    <row r="3244" spans="1:8" x14ac:dyDescent="0.25">
      <c r="A3244" s="10">
        <v>3714</v>
      </c>
      <c r="B3244" s="1" t="s">
        <v>4348</v>
      </c>
      <c r="C3244" s="2" t="s">
        <v>3249</v>
      </c>
      <c r="D3244" s="1">
        <v>159</v>
      </c>
      <c r="E3244">
        <v>360</v>
      </c>
      <c r="F3244">
        <v>430</v>
      </c>
      <c r="G3244">
        <v>450</v>
      </c>
      <c r="H3244">
        <v>485</v>
      </c>
    </row>
    <row r="3245" spans="1:8" x14ac:dyDescent="0.25">
      <c r="A3245" s="10">
        <v>3715</v>
      </c>
      <c r="B3245" s="1" t="s">
        <v>4348</v>
      </c>
      <c r="C3245" s="2" t="s">
        <v>3250</v>
      </c>
      <c r="D3245" s="1">
        <v>159</v>
      </c>
      <c r="E3245">
        <v>55</v>
      </c>
      <c r="F3245">
        <v>70</v>
      </c>
      <c r="G3245">
        <v>75</v>
      </c>
      <c r="H3245">
        <v>80</v>
      </c>
    </row>
    <row r="3246" spans="1:8" x14ac:dyDescent="0.25">
      <c r="A3246" s="10">
        <v>3716</v>
      </c>
      <c r="B3246" s="1" t="s">
        <v>4348</v>
      </c>
      <c r="C3246" s="2" t="s">
        <v>3251</v>
      </c>
      <c r="D3246" s="1">
        <v>159</v>
      </c>
      <c r="E3246">
        <v>150</v>
      </c>
      <c r="F3246">
        <v>240</v>
      </c>
      <c r="G3246">
        <v>250</v>
      </c>
      <c r="H3246">
        <v>235</v>
      </c>
    </row>
    <row r="3247" spans="1:8" x14ac:dyDescent="0.25">
      <c r="A3247" s="10">
        <v>3717</v>
      </c>
      <c r="B3247" s="1" t="s">
        <v>4348</v>
      </c>
      <c r="C3247" s="2" t="s">
        <v>3253</v>
      </c>
      <c r="D3247" s="1">
        <v>159</v>
      </c>
      <c r="E3247">
        <v>580</v>
      </c>
      <c r="F3247">
        <v>750</v>
      </c>
      <c r="G3247">
        <v>800</v>
      </c>
      <c r="H3247">
        <v>820</v>
      </c>
    </row>
    <row r="3249" spans="1:8" x14ac:dyDescent="0.25">
      <c r="A3249" s="10">
        <v>3718</v>
      </c>
      <c r="B3249" s="1" t="s">
        <v>3127</v>
      </c>
      <c r="C3249" s="8" t="s">
        <v>3126</v>
      </c>
      <c r="D3249" s="1" t="s">
        <v>3879</v>
      </c>
      <c r="E3249">
        <v>1530</v>
      </c>
      <c r="F3249">
        <v>1550</v>
      </c>
      <c r="G3249">
        <v>1600</v>
      </c>
      <c r="H3249">
        <v>2800</v>
      </c>
    </row>
    <row r="3250" spans="1:8" x14ac:dyDescent="0.25">
      <c r="A3250" s="10">
        <v>3719</v>
      </c>
      <c r="B3250" s="1" t="s">
        <v>3127</v>
      </c>
      <c r="C3250" s="2" t="s">
        <v>3125</v>
      </c>
      <c r="D3250" s="1">
        <v>160</v>
      </c>
      <c r="E3250">
        <v>380</v>
      </c>
      <c r="F3250">
        <v>420</v>
      </c>
      <c r="G3250">
        <v>580</v>
      </c>
      <c r="H3250">
        <v>595</v>
      </c>
    </row>
    <row r="3251" spans="1:8" x14ac:dyDescent="0.25">
      <c r="A3251" s="10">
        <v>3720</v>
      </c>
      <c r="B3251" s="1" t="s">
        <v>3127</v>
      </c>
      <c r="C3251" s="8" t="s">
        <v>3777</v>
      </c>
      <c r="D3251" s="1">
        <v>160</v>
      </c>
      <c r="E3251">
        <v>140</v>
      </c>
      <c r="F3251">
        <v>180</v>
      </c>
      <c r="G3251">
        <v>280</v>
      </c>
      <c r="H3251">
        <v>295</v>
      </c>
    </row>
    <row r="3252" spans="1:8" x14ac:dyDescent="0.25">
      <c r="A3252" s="10">
        <v>3721</v>
      </c>
      <c r="B3252" s="1" t="s">
        <v>3127</v>
      </c>
      <c r="C3252" s="2" t="s">
        <v>3105</v>
      </c>
      <c r="D3252" s="1">
        <v>160</v>
      </c>
      <c r="E3252">
        <v>140</v>
      </c>
      <c r="F3252">
        <v>180</v>
      </c>
      <c r="G3252">
        <v>280</v>
      </c>
      <c r="H3252">
        <v>295</v>
      </c>
    </row>
    <row r="3253" spans="1:8" x14ac:dyDescent="0.25">
      <c r="A3253" s="10">
        <v>3722</v>
      </c>
      <c r="B3253" s="1" t="s">
        <v>3127</v>
      </c>
      <c r="C3253" s="8" t="s">
        <v>3778</v>
      </c>
      <c r="D3253" s="1">
        <v>160</v>
      </c>
      <c r="E3253">
        <v>20</v>
      </c>
      <c r="F3253">
        <v>30</v>
      </c>
      <c r="G3253">
        <v>40</v>
      </c>
      <c r="H3253">
        <v>45</v>
      </c>
    </row>
    <row r="3255" spans="1:8" x14ac:dyDescent="0.25">
      <c r="A3255" s="10">
        <v>3723</v>
      </c>
      <c r="B3255" t="s">
        <v>3870</v>
      </c>
      <c r="C3255" s="2" t="s">
        <v>2902</v>
      </c>
      <c r="D3255" s="1" t="s">
        <v>3880</v>
      </c>
      <c r="E3255">
        <v>340</v>
      </c>
      <c r="F3255">
        <v>450</v>
      </c>
      <c r="G3255">
        <v>480</v>
      </c>
      <c r="H3255">
        <v>495</v>
      </c>
    </row>
    <row r="3256" spans="1:8" x14ac:dyDescent="0.25">
      <c r="A3256" s="10">
        <v>3724</v>
      </c>
      <c r="B3256" t="s">
        <v>3870</v>
      </c>
      <c r="C3256" s="2" t="s">
        <v>2903</v>
      </c>
      <c r="D3256" s="1">
        <v>161</v>
      </c>
      <c r="E3256">
        <v>190</v>
      </c>
      <c r="F3256">
        <v>250</v>
      </c>
      <c r="G3256">
        <v>280</v>
      </c>
      <c r="H3256">
        <v>295</v>
      </c>
    </row>
    <row r="3257" spans="1:8" x14ac:dyDescent="0.25">
      <c r="A3257" s="10">
        <v>3725</v>
      </c>
      <c r="B3257" t="s">
        <v>3870</v>
      </c>
      <c r="C3257" s="2" t="s">
        <v>2873</v>
      </c>
      <c r="D3257" s="1">
        <v>161</v>
      </c>
      <c r="E3257">
        <v>1320</v>
      </c>
      <c r="F3257">
        <v>1500</v>
      </c>
      <c r="G3257">
        <v>1750</v>
      </c>
      <c r="H3257">
        <v>1795</v>
      </c>
    </row>
    <row r="3258" spans="1:8" x14ac:dyDescent="0.25">
      <c r="A3258" s="10">
        <v>3726</v>
      </c>
      <c r="B3258" t="s">
        <v>3870</v>
      </c>
      <c r="C3258" s="2" t="s">
        <v>2874</v>
      </c>
      <c r="D3258" s="1">
        <v>161</v>
      </c>
      <c r="E3258">
        <v>1000</v>
      </c>
      <c r="F3258">
        <v>1200</v>
      </c>
      <c r="G3258">
        <v>1350</v>
      </c>
      <c r="H3258">
        <v>1395</v>
      </c>
    </row>
    <row r="3259" spans="1:8" x14ac:dyDescent="0.25">
      <c r="A3259" s="10">
        <v>3727</v>
      </c>
      <c r="B3259" t="s">
        <v>3870</v>
      </c>
      <c r="C3259" s="2" t="s">
        <v>2875</v>
      </c>
      <c r="D3259" s="1">
        <v>161</v>
      </c>
      <c r="E3259">
        <v>1300</v>
      </c>
      <c r="F3259">
        <v>1500</v>
      </c>
      <c r="G3259">
        <v>1800</v>
      </c>
      <c r="H3259">
        <v>1975</v>
      </c>
    </row>
    <row r="3260" spans="1:8" x14ac:dyDescent="0.25">
      <c r="A3260" s="10">
        <v>3728</v>
      </c>
      <c r="B3260" t="s">
        <v>3870</v>
      </c>
      <c r="C3260" s="2" t="s">
        <v>3780</v>
      </c>
      <c r="D3260" s="1">
        <v>161</v>
      </c>
      <c r="E3260">
        <v>1200</v>
      </c>
      <c r="F3260">
        <v>1500</v>
      </c>
      <c r="G3260">
        <v>1800</v>
      </c>
      <c r="H3260">
        <v>1975</v>
      </c>
    </row>
    <row r="3261" spans="1:8" x14ac:dyDescent="0.25">
      <c r="A3261" s="10">
        <v>3729</v>
      </c>
      <c r="B3261" t="s">
        <v>3870</v>
      </c>
      <c r="C3261" s="2" t="s">
        <v>2876</v>
      </c>
      <c r="D3261" s="1">
        <v>161</v>
      </c>
      <c r="E3261">
        <v>1300</v>
      </c>
      <c r="F3261">
        <v>1500</v>
      </c>
      <c r="G3261">
        <v>1800</v>
      </c>
      <c r="H3261">
        <v>1875</v>
      </c>
    </row>
    <row r="3262" spans="1:8" x14ac:dyDescent="0.25">
      <c r="A3262" s="10">
        <v>3730</v>
      </c>
      <c r="B3262" t="s">
        <v>3870</v>
      </c>
      <c r="C3262" s="2" t="s">
        <v>3781</v>
      </c>
      <c r="D3262" s="1">
        <v>161</v>
      </c>
      <c r="E3262">
        <v>2200</v>
      </c>
      <c r="F3262">
        <v>2600</v>
      </c>
      <c r="G3262">
        <v>3650</v>
      </c>
      <c r="H3262">
        <v>3750</v>
      </c>
    </row>
    <row r="3263" spans="1:8" x14ac:dyDescent="0.25">
      <c r="A3263" s="10">
        <v>3731</v>
      </c>
      <c r="B3263" t="s">
        <v>3870</v>
      </c>
      <c r="C3263" s="2" t="s">
        <v>2879</v>
      </c>
      <c r="D3263" s="1">
        <v>161</v>
      </c>
      <c r="E3263">
        <v>1530</v>
      </c>
      <c r="F3263">
        <v>1800</v>
      </c>
      <c r="G3263">
        <v>2000</v>
      </c>
      <c r="H3263">
        <v>2125</v>
      </c>
    </row>
    <row r="3264" spans="1:8" x14ac:dyDescent="0.25">
      <c r="A3264" s="10">
        <v>3732</v>
      </c>
      <c r="B3264" t="s">
        <v>3870</v>
      </c>
      <c r="C3264" s="2" t="s">
        <v>2877</v>
      </c>
      <c r="D3264" s="1">
        <v>161</v>
      </c>
      <c r="E3264">
        <v>4800</v>
      </c>
      <c r="F3264">
        <v>6200</v>
      </c>
      <c r="G3264">
        <v>6800</v>
      </c>
      <c r="H3264">
        <v>6975</v>
      </c>
    </row>
    <row r="3265" spans="1:8" x14ac:dyDescent="0.25">
      <c r="A3265" s="10">
        <v>3733</v>
      </c>
      <c r="B3265" t="s">
        <v>3870</v>
      </c>
      <c r="C3265" s="2" t="s">
        <v>2880</v>
      </c>
      <c r="D3265" s="1">
        <v>161</v>
      </c>
      <c r="E3265">
        <v>3500</v>
      </c>
      <c r="F3265">
        <v>4200</v>
      </c>
      <c r="G3265">
        <v>4700</v>
      </c>
      <c r="H3265">
        <v>4975</v>
      </c>
    </row>
    <row r="3266" spans="1:8" x14ac:dyDescent="0.25">
      <c r="A3266" s="10">
        <v>3734</v>
      </c>
      <c r="B3266" t="s">
        <v>3870</v>
      </c>
      <c r="C3266" s="2" t="s">
        <v>2882</v>
      </c>
      <c r="D3266" s="1">
        <v>161</v>
      </c>
      <c r="E3266">
        <v>2250</v>
      </c>
      <c r="F3266">
        <v>2750</v>
      </c>
      <c r="G3266">
        <v>3000</v>
      </c>
      <c r="H3266">
        <v>3250</v>
      </c>
    </row>
    <row r="3267" spans="1:8" x14ac:dyDescent="0.25">
      <c r="A3267" s="10">
        <v>3735</v>
      </c>
      <c r="B3267" t="s">
        <v>3870</v>
      </c>
      <c r="C3267" s="2" t="s">
        <v>2881</v>
      </c>
      <c r="D3267" s="1">
        <v>161</v>
      </c>
    </row>
    <row r="3268" spans="1:8" x14ac:dyDescent="0.25">
      <c r="A3268" s="10">
        <v>3736</v>
      </c>
      <c r="B3268" t="s">
        <v>3870</v>
      </c>
      <c r="C3268" s="2" t="s">
        <v>2878</v>
      </c>
      <c r="D3268" s="1">
        <v>161</v>
      </c>
      <c r="E3268">
        <v>1800</v>
      </c>
      <c r="F3268">
        <v>2500</v>
      </c>
      <c r="G3268">
        <v>3000</v>
      </c>
      <c r="H3268">
        <v>3250</v>
      </c>
    </row>
    <row r="3269" spans="1:8" x14ac:dyDescent="0.25">
      <c r="A3269" s="10">
        <v>3737</v>
      </c>
      <c r="B3269" t="s">
        <v>3870</v>
      </c>
      <c r="C3269" s="2" t="s">
        <v>3009</v>
      </c>
      <c r="D3269" s="1">
        <v>161</v>
      </c>
    </row>
    <row r="3270" spans="1:8" x14ac:dyDescent="0.25">
      <c r="A3270" s="10">
        <v>3738</v>
      </c>
      <c r="B3270" t="s">
        <v>3870</v>
      </c>
      <c r="C3270" s="2" t="s">
        <v>3590</v>
      </c>
      <c r="D3270" s="1">
        <v>161</v>
      </c>
      <c r="E3270">
        <v>1200</v>
      </c>
      <c r="F3270">
        <v>1600</v>
      </c>
      <c r="G3270">
        <v>1950</v>
      </c>
      <c r="H3270">
        <v>1975</v>
      </c>
    </row>
    <row r="3271" spans="1:8" x14ac:dyDescent="0.25">
      <c r="A3271" s="10">
        <v>3739</v>
      </c>
      <c r="B3271" t="s">
        <v>3870</v>
      </c>
      <c r="C3271" s="2" t="s">
        <v>3008</v>
      </c>
      <c r="D3271" s="1">
        <v>161</v>
      </c>
    </row>
    <row r="3272" spans="1:8" x14ac:dyDescent="0.25">
      <c r="A3272" s="10">
        <v>3740</v>
      </c>
      <c r="B3272" t="s">
        <v>3870</v>
      </c>
      <c r="C3272" s="2" t="s">
        <v>3008</v>
      </c>
      <c r="D3272" s="1">
        <v>161</v>
      </c>
    </row>
    <row r="3273" spans="1:8" x14ac:dyDescent="0.25">
      <c r="A3273"/>
    </row>
    <row r="3274" spans="1:8" x14ac:dyDescent="0.25">
      <c r="A3274" s="10">
        <v>3741</v>
      </c>
      <c r="B3274" t="s">
        <v>3942</v>
      </c>
      <c r="C3274" s="1" t="s">
        <v>3944</v>
      </c>
      <c r="D3274" s="1" t="s">
        <v>3943</v>
      </c>
      <c r="E3274">
        <v>65</v>
      </c>
      <c r="F3274">
        <v>80</v>
      </c>
      <c r="G3274">
        <v>100</v>
      </c>
      <c r="H3274">
        <v>110</v>
      </c>
    </row>
    <row r="3275" spans="1:8" x14ac:dyDescent="0.25">
      <c r="A3275" s="10">
        <v>3742</v>
      </c>
      <c r="B3275" t="s">
        <v>3942</v>
      </c>
      <c r="C3275" s="1" t="s">
        <v>3945</v>
      </c>
      <c r="D3275" s="1">
        <v>163</v>
      </c>
      <c r="E3275">
        <v>160</v>
      </c>
      <c r="F3275">
        <v>180</v>
      </c>
      <c r="G3275">
        <v>200</v>
      </c>
      <c r="H3275">
        <v>215</v>
      </c>
    </row>
    <row r="3276" spans="1:8" x14ac:dyDescent="0.25">
      <c r="A3276" s="10">
        <v>3743</v>
      </c>
      <c r="B3276" t="s">
        <v>3942</v>
      </c>
      <c r="C3276" s="1" t="s">
        <v>3941</v>
      </c>
      <c r="D3276" s="1">
        <v>163</v>
      </c>
      <c r="E3276">
        <v>22</v>
      </c>
      <c r="F3276">
        <v>35</v>
      </c>
      <c r="G3276">
        <v>50</v>
      </c>
      <c r="H3276">
        <v>55</v>
      </c>
    </row>
    <row r="3277" spans="1:8" x14ac:dyDescent="0.25">
      <c r="A3277">
        <v>3744</v>
      </c>
      <c r="B3277" t="s">
        <v>3942</v>
      </c>
      <c r="C3277" s="1" t="s">
        <v>3940</v>
      </c>
      <c r="D3277" s="1">
        <v>163</v>
      </c>
      <c r="E3277">
        <v>55</v>
      </c>
      <c r="F3277">
        <v>70</v>
      </c>
      <c r="G3277">
        <v>120</v>
      </c>
      <c r="H3277">
        <v>135</v>
      </c>
    </row>
    <row r="3278" spans="1:8" x14ac:dyDescent="0.25">
      <c r="A3278"/>
    </row>
    <row r="3279" spans="1:8" x14ac:dyDescent="0.25">
      <c r="A3279" s="10">
        <v>3745</v>
      </c>
      <c r="B3279" t="s">
        <v>2151</v>
      </c>
      <c r="C3279" s="1" t="s">
        <v>3946</v>
      </c>
      <c r="D3279" s="1" t="s">
        <v>4007</v>
      </c>
      <c r="E3279">
        <v>63</v>
      </c>
      <c r="F3279">
        <v>100</v>
      </c>
      <c r="G3279">
        <v>150</v>
      </c>
      <c r="H3279">
        <v>165</v>
      </c>
    </row>
    <row r="3281" spans="1:8" x14ac:dyDescent="0.25">
      <c r="A3281" s="10">
        <v>3746</v>
      </c>
      <c r="B3281" t="s">
        <v>3975</v>
      </c>
      <c r="C3281" s="1" t="s">
        <v>3976</v>
      </c>
      <c r="D3281" s="1" t="s">
        <v>4012</v>
      </c>
      <c r="E3281">
        <v>225</v>
      </c>
      <c r="F3281">
        <v>500</v>
      </c>
      <c r="G3281">
        <v>580</v>
      </c>
      <c r="H3281">
        <v>595</v>
      </c>
    </row>
    <row r="3282" spans="1:8" x14ac:dyDescent="0.25">
      <c r="A3282" s="13"/>
    </row>
    <row r="3283" spans="1:8" x14ac:dyDescent="0.25">
      <c r="A3283" s="10">
        <v>3747</v>
      </c>
      <c r="B3283" t="s">
        <v>3975</v>
      </c>
      <c r="C3283" s="1" t="s">
        <v>4008</v>
      </c>
      <c r="D3283" s="1" t="s">
        <v>4009</v>
      </c>
      <c r="E3283">
        <v>270</v>
      </c>
      <c r="F3283">
        <v>550</v>
      </c>
      <c r="G3283">
        <v>650</v>
      </c>
      <c r="H3283">
        <v>675</v>
      </c>
    </row>
    <row r="3284" spans="1:8" x14ac:dyDescent="0.25">
      <c r="A3284" s="10">
        <v>3748</v>
      </c>
      <c r="B3284" t="s">
        <v>3975</v>
      </c>
      <c r="C3284" s="1" t="s">
        <v>3989</v>
      </c>
      <c r="D3284" s="1">
        <v>164</v>
      </c>
      <c r="E3284">
        <v>650</v>
      </c>
      <c r="F3284">
        <v>850</v>
      </c>
      <c r="G3284">
        <v>950</v>
      </c>
      <c r="H3284">
        <v>975</v>
      </c>
    </row>
    <row r="3285" spans="1:8" x14ac:dyDescent="0.25">
      <c r="A3285" s="10">
        <v>3749</v>
      </c>
      <c r="B3285" t="s">
        <v>3975</v>
      </c>
      <c r="C3285" s="1" t="s">
        <v>3977</v>
      </c>
      <c r="D3285" s="1">
        <v>164</v>
      </c>
      <c r="E3285">
        <v>162</v>
      </c>
      <c r="F3285">
        <v>350</v>
      </c>
      <c r="G3285">
        <v>480</v>
      </c>
      <c r="H3285">
        <v>495</v>
      </c>
    </row>
    <row r="3286" spans="1:8" x14ac:dyDescent="0.25">
      <c r="A3286" s="10">
        <v>3750</v>
      </c>
      <c r="B3286" t="s">
        <v>3975</v>
      </c>
      <c r="C3286" s="1" t="s">
        <v>3987</v>
      </c>
      <c r="D3286" s="1">
        <v>164</v>
      </c>
      <c r="E3286">
        <v>145</v>
      </c>
      <c r="F3286">
        <v>300</v>
      </c>
      <c r="G3286">
        <v>380</v>
      </c>
      <c r="H3286">
        <v>395</v>
      </c>
    </row>
    <row r="3287" spans="1:8" x14ac:dyDescent="0.25">
      <c r="A3287" s="10">
        <v>3751</v>
      </c>
      <c r="B3287" t="s">
        <v>3975</v>
      </c>
      <c r="C3287" s="1" t="s">
        <v>3979</v>
      </c>
      <c r="D3287" s="1">
        <v>164</v>
      </c>
      <c r="E3287">
        <v>140</v>
      </c>
      <c r="F3287">
        <v>250</v>
      </c>
      <c r="G3287">
        <v>350</v>
      </c>
      <c r="H3287">
        <v>365</v>
      </c>
    </row>
    <row r="3288" spans="1:8" x14ac:dyDescent="0.25">
      <c r="A3288" s="10">
        <v>3752</v>
      </c>
      <c r="B3288" t="s">
        <v>3975</v>
      </c>
      <c r="C3288" s="1" t="s">
        <v>3983</v>
      </c>
      <c r="D3288" s="1">
        <v>164</v>
      </c>
      <c r="E3288">
        <v>180</v>
      </c>
      <c r="F3288">
        <v>300</v>
      </c>
      <c r="G3288">
        <v>480</v>
      </c>
      <c r="H3288">
        <v>495</v>
      </c>
    </row>
    <row r="3289" spans="1:8" x14ac:dyDescent="0.25">
      <c r="A3289" s="10">
        <v>3753</v>
      </c>
      <c r="B3289" t="s">
        <v>3975</v>
      </c>
      <c r="C3289" s="1" t="s">
        <v>3981</v>
      </c>
      <c r="D3289" s="1">
        <v>164</v>
      </c>
      <c r="E3289">
        <v>180</v>
      </c>
      <c r="F3289">
        <v>350</v>
      </c>
      <c r="G3289">
        <v>450</v>
      </c>
      <c r="H3289">
        <v>475</v>
      </c>
    </row>
    <row r="3290" spans="1:8" x14ac:dyDescent="0.25">
      <c r="A3290" s="10">
        <v>3754</v>
      </c>
      <c r="B3290" t="s">
        <v>3975</v>
      </c>
      <c r="C3290" s="1" t="s">
        <v>3980</v>
      </c>
      <c r="D3290" s="1">
        <v>164</v>
      </c>
      <c r="E3290">
        <v>200</v>
      </c>
      <c r="F3290">
        <v>350</v>
      </c>
      <c r="G3290">
        <v>480</v>
      </c>
      <c r="H3290">
        <v>495</v>
      </c>
    </row>
    <row r="3291" spans="1:8" x14ac:dyDescent="0.25">
      <c r="A3291" s="10">
        <v>3755</v>
      </c>
      <c r="B3291" t="s">
        <v>3975</v>
      </c>
      <c r="C3291" s="1" t="s">
        <v>3988</v>
      </c>
      <c r="D3291" s="1">
        <v>164</v>
      </c>
      <c r="E3291">
        <v>265</v>
      </c>
      <c r="F3291">
        <v>500</v>
      </c>
      <c r="G3291">
        <v>680</v>
      </c>
      <c r="H3291">
        <v>695</v>
      </c>
    </row>
    <row r="3292" spans="1:8" x14ac:dyDescent="0.25">
      <c r="A3292" s="10">
        <v>3756</v>
      </c>
      <c r="B3292" t="s">
        <v>3975</v>
      </c>
      <c r="C3292" s="1" t="s">
        <v>3982</v>
      </c>
      <c r="D3292" s="1">
        <v>164</v>
      </c>
      <c r="E3292">
        <v>150</v>
      </c>
      <c r="F3292">
        <v>200</v>
      </c>
      <c r="G3292">
        <v>280</v>
      </c>
      <c r="H3292">
        <v>295</v>
      </c>
    </row>
    <row r="3293" spans="1:8" x14ac:dyDescent="0.25">
      <c r="A3293" s="10">
        <v>3757</v>
      </c>
      <c r="B3293" t="s">
        <v>3975</v>
      </c>
      <c r="C3293" s="1" t="s">
        <v>3986</v>
      </c>
      <c r="D3293" s="1">
        <v>164</v>
      </c>
      <c r="E3293">
        <v>135</v>
      </c>
      <c r="F3293">
        <v>250</v>
      </c>
      <c r="G3293">
        <v>380</v>
      </c>
      <c r="H3293">
        <v>395</v>
      </c>
    </row>
    <row r="3294" spans="1:8" x14ac:dyDescent="0.25">
      <c r="A3294" s="10">
        <v>3758</v>
      </c>
      <c r="B3294" t="s">
        <v>3975</v>
      </c>
      <c r="C3294" s="1" t="s">
        <v>3978</v>
      </c>
      <c r="D3294" s="1">
        <v>164</v>
      </c>
      <c r="E3294">
        <v>195</v>
      </c>
      <c r="F3294">
        <v>280</v>
      </c>
      <c r="G3294">
        <v>380</v>
      </c>
      <c r="H3294">
        <v>395</v>
      </c>
    </row>
    <row r="3295" spans="1:8" x14ac:dyDescent="0.25">
      <c r="A3295" s="10">
        <v>3759</v>
      </c>
      <c r="B3295" t="s">
        <v>3975</v>
      </c>
      <c r="C3295" s="1" t="s">
        <v>3985</v>
      </c>
      <c r="D3295" s="1">
        <v>164</v>
      </c>
      <c r="E3295">
        <v>200</v>
      </c>
      <c r="F3295">
        <v>300</v>
      </c>
      <c r="G3295">
        <v>350</v>
      </c>
      <c r="H3295">
        <v>365</v>
      </c>
    </row>
    <row r="3296" spans="1:8" x14ac:dyDescent="0.25">
      <c r="A3296" s="10">
        <v>3760</v>
      </c>
      <c r="B3296" t="s">
        <v>3975</v>
      </c>
      <c r="C3296" s="1" t="s">
        <v>3984</v>
      </c>
      <c r="D3296" s="1">
        <v>164</v>
      </c>
      <c r="E3296">
        <v>250</v>
      </c>
      <c r="F3296">
        <v>400</v>
      </c>
      <c r="G3296">
        <v>500</v>
      </c>
      <c r="H3296">
        <v>525</v>
      </c>
    </row>
    <row r="3297" spans="1:8" x14ac:dyDescent="0.25">
      <c r="A3297" s="10">
        <v>3761</v>
      </c>
      <c r="B3297" t="s">
        <v>3975</v>
      </c>
      <c r="C3297" s="1" t="s">
        <v>3990</v>
      </c>
      <c r="D3297" s="1">
        <v>164</v>
      </c>
      <c r="E3297">
        <v>54</v>
      </c>
      <c r="F3297">
        <v>120</v>
      </c>
      <c r="G3297">
        <v>180</v>
      </c>
      <c r="H3297">
        <v>195</v>
      </c>
    </row>
    <row r="3298" spans="1:8" x14ac:dyDescent="0.25">
      <c r="A3298" s="10">
        <v>3762</v>
      </c>
      <c r="B3298" t="s">
        <v>3975</v>
      </c>
      <c r="C3298" s="1" t="s">
        <v>3991</v>
      </c>
      <c r="D3298" s="1">
        <v>164</v>
      </c>
      <c r="E3298">
        <v>58</v>
      </c>
      <c r="F3298">
        <v>120</v>
      </c>
      <c r="G3298">
        <v>180</v>
      </c>
      <c r="H3298">
        <v>195</v>
      </c>
    </row>
    <row r="3300" spans="1:8" x14ac:dyDescent="0.25">
      <c r="A3300" s="10">
        <v>3763</v>
      </c>
      <c r="B3300" s="3" t="s">
        <v>4006</v>
      </c>
      <c r="C3300" s="2" t="s">
        <v>4005</v>
      </c>
      <c r="D3300" s="1" t="s">
        <v>4010</v>
      </c>
      <c r="E3300">
        <v>4980</v>
      </c>
      <c r="F3300">
        <v>5800</v>
      </c>
      <c r="G3300">
        <v>6000</v>
      </c>
      <c r="H3300">
        <v>9025</v>
      </c>
    </row>
    <row r="3301" spans="1:8" x14ac:dyDescent="0.25">
      <c r="A3301" s="10">
        <v>3764</v>
      </c>
      <c r="B3301" s="3" t="s">
        <v>4006</v>
      </c>
      <c r="C3301" s="2" t="s">
        <v>3992</v>
      </c>
      <c r="D3301" s="1">
        <v>165</v>
      </c>
      <c r="E3301">
        <v>2050</v>
      </c>
      <c r="F3301">
        <v>2400</v>
      </c>
      <c r="G3301">
        <v>2500</v>
      </c>
      <c r="H3301">
        <v>3720</v>
      </c>
    </row>
    <row r="3302" spans="1:8" x14ac:dyDescent="0.25">
      <c r="A3302" s="10">
        <v>3765</v>
      </c>
      <c r="B3302" s="3" t="s">
        <v>4006</v>
      </c>
      <c r="C3302" s="2" t="s">
        <v>3993</v>
      </c>
      <c r="D3302" s="1">
        <v>165</v>
      </c>
      <c r="E3302">
        <v>2050</v>
      </c>
      <c r="F3302">
        <v>2400</v>
      </c>
      <c r="G3302">
        <v>2500</v>
      </c>
      <c r="H3302">
        <v>3720</v>
      </c>
    </row>
    <row r="3303" spans="1:8" x14ac:dyDescent="0.25">
      <c r="A3303" s="10">
        <v>3766</v>
      </c>
      <c r="B3303" s="3" t="s">
        <v>4006</v>
      </c>
      <c r="C3303" s="2" t="s">
        <v>3994</v>
      </c>
      <c r="D3303" s="1">
        <v>165</v>
      </c>
      <c r="E3303">
        <v>2050</v>
      </c>
      <c r="F3303">
        <v>2400</v>
      </c>
      <c r="G3303">
        <v>2500</v>
      </c>
      <c r="H3303">
        <v>3720</v>
      </c>
    </row>
    <row r="3304" spans="1:8" x14ac:dyDescent="0.25">
      <c r="A3304" s="10">
        <v>3767</v>
      </c>
      <c r="B3304" s="3" t="s">
        <v>4006</v>
      </c>
      <c r="C3304" s="2" t="s">
        <v>3995</v>
      </c>
      <c r="D3304" s="1">
        <v>165</v>
      </c>
      <c r="E3304">
        <v>2050</v>
      </c>
      <c r="F3304">
        <v>2400</v>
      </c>
      <c r="G3304">
        <v>2500</v>
      </c>
      <c r="H3304">
        <v>3720</v>
      </c>
    </row>
    <row r="3305" spans="1:8" x14ac:dyDescent="0.25">
      <c r="A3305" s="10">
        <v>3768</v>
      </c>
      <c r="B3305" s="3" t="s">
        <v>4006</v>
      </c>
      <c r="C3305" s="2" t="s">
        <v>3996</v>
      </c>
      <c r="D3305" s="1">
        <v>165</v>
      </c>
      <c r="E3305">
        <v>2050</v>
      </c>
      <c r="F3305">
        <v>2400</v>
      </c>
      <c r="G3305">
        <v>2500</v>
      </c>
      <c r="H3305">
        <v>3720</v>
      </c>
    </row>
    <row r="3306" spans="1:8" x14ac:dyDescent="0.25">
      <c r="A3306" s="10">
        <v>3769</v>
      </c>
      <c r="B3306" s="3" t="s">
        <v>4006</v>
      </c>
      <c r="C3306" s="2" t="s">
        <v>3997</v>
      </c>
      <c r="D3306" s="1">
        <v>165</v>
      </c>
      <c r="E3306">
        <v>2050</v>
      </c>
      <c r="F3306">
        <v>2400</v>
      </c>
      <c r="G3306">
        <v>2500</v>
      </c>
      <c r="H3306">
        <v>3720</v>
      </c>
    </row>
    <row r="3307" spans="1:8" x14ac:dyDescent="0.25">
      <c r="A3307" s="10">
        <v>3770</v>
      </c>
      <c r="B3307" s="3" t="s">
        <v>4006</v>
      </c>
      <c r="C3307" s="2" t="s">
        <v>3998</v>
      </c>
      <c r="D3307" s="1">
        <v>165</v>
      </c>
      <c r="E3307">
        <v>2050</v>
      </c>
      <c r="F3307">
        <v>2400</v>
      </c>
      <c r="G3307">
        <v>2500</v>
      </c>
      <c r="H3307">
        <v>3720</v>
      </c>
    </row>
    <row r="3308" spans="1:8" x14ac:dyDescent="0.25">
      <c r="A3308" s="10">
        <v>3771</v>
      </c>
      <c r="B3308" s="3" t="s">
        <v>4006</v>
      </c>
      <c r="C3308" s="2" t="s">
        <v>3999</v>
      </c>
      <c r="D3308" s="1">
        <v>165</v>
      </c>
      <c r="E3308">
        <v>2050</v>
      </c>
      <c r="F3308">
        <v>2400</v>
      </c>
      <c r="G3308">
        <v>2500</v>
      </c>
      <c r="H3308">
        <v>3720</v>
      </c>
    </row>
    <row r="3309" spans="1:8" x14ac:dyDescent="0.25">
      <c r="A3309" s="10">
        <v>3772</v>
      </c>
      <c r="B3309" s="3" t="s">
        <v>4006</v>
      </c>
      <c r="C3309" s="2" t="s">
        <v>4000</v>
      </c>
      <c r="D3309" s="1">
        <v>165</v>
      </c>
      <c r="E3309">
        <v>2050</v>
      </c>
      <c r="F3309">
        <v>2400</v>
      </c>
      <c r="G3309">
        <v>2500</v>
      </c>
      <c r="H3309">
        <v>3720</v>
      </c>
    </row>
    <row r="3310" spans="1:8" x14ac:dyDescent="0.25">
      <c r="A3310" s="10">
        <v>3773</v>
      </c>
      <c r="B3310" s="3" t="s">
        <v>4006</v>
      </c>
      <c r="C3310" s="2" t="s">
        <v>4001</v>
      </c>
      <c r="D3310" s="1">
        <v>165</v>
      </c>
      <c r="E3310">
        <v>2050</v>
      </c>
      <c r="F3310">
        <v>2400</v>
      </c>
      <c r="G3310">
        <v>2500</v>
      </c>
      <c r="H3310">
        <v>3720</v>
      </c>
    </row>
    <row r="3311" spans="1:8" x14ac:dyDescent="0.25">
      <c r="A3311" s="10">
        <v>3774</v>
      </c>
      <c r="B3311" s="3" t="s">
        <v>4006</v>
      </c>
      <c r="C3311" s="2" t="s">
        <v>4002</v>
      </c>
      <c r="D3311" s="1">
        <v>165</v>
      </c>
      <c r="E3311">
        <v>2050</v>
      </c>
      <c r="F3311">
        <v>2400</v>
      </c>
      <c r="G3311">
        <v>2500</v>
      </c>
      <c r="H3311">
        <v>3720</v>
      </c>
    </row>
    <row r="3312" spans="1:8" x14ac:dyDescent="0.25">
      <c r="A3312" s="10">
        <v>3775</v>
      </c>
      <c r="B3312" s="3" t="s">
        <v>4006</v>
      </c>
      <c r="C3312" s="2" t="s">
        <v>4003</v>
      </c>
      <c r="D3312" s="1">
        <v>165</v>
      </c>
      <c r="E3312">
        <v>2050</v>
      </c>
      <c r="F3312">
        <v>2400</v>
      </c>
      <c r="G3312">
        <v>2500</v>
      </c>
      <c r="H3312">
        <v>3720</v>
      </c>
    </row>
    <row r="3313" spans="1:8" x14ac:dyDescent="0.25">
      <c r="A3313" s="10">
        <v>3776</v>
      </c>
      <c r="B3313" s="3" t="s">
        <v>4006</v>
      </c>
      <c r="C3313" s="2" t="s">
        <v>4004</v>
      </c>
      <c r="D3313" s="1">
        <v>165</v>
      </c>
      <c r="E3313">
        <v>2050</v>
      </c>
      <c r="F3313">
        <v>2400</v>
      </c>
      <c r="G3313">
        <v>2500</v>
      </c>
      <c r="H3313">
        <v>3720</v>
      </c>
    </row>
    <row r="3314" spans="1:8" x14ac:dyDescent="0.25">
      <c r="A3314"/>
      <c r="B3314" s="3"/>
      <c r="C3314" s="2"/>
    </row>
    <row r="3315" spans="1:8" x14ac:dyDescent="0.25">
      <c r="A3315" s="10">
        <v>3777</v>
      </c>
      <c r="B3315" t="s">
        <v>3953</v>
      </c>
      <c r="C3315" s="1" t="s">
        <v>3947</v>
      </c>
      <c r="D3315" s="24" t="s">
        <v>4329</v>
      </c>
      <c r="E3315">
        <v>214</v>
      </c>
      <c r="F3315">
        <v>230</v>
      </c>
      <c r="G3315">
        <v>270</v>
      </c>
      <c r="H3315">
        <v>495</v>
      </c>
    </row>
    <row r="3316" spans="1:8" x14ac:dyDescent="0.25">
      <c r="A3316" s="10">
        <v>3778</v>
      </c>
      <c r="B3316" t="s">
        <v>3953</v>
      </c>
      <c r="C3316" s="1" t="s">
        <v>3948</v>
      </c>
      <c r="D3316" s="24" t="s">
        <v>4329</v>
      </c>
      <c r="E3316">
        <v>387</v>
      </c>
      <c r="F3316">
        <v>400</v>
      </c>
      <c r="G3316">
        <v>480</v>
      </c>
      <c r="H3316">
        <v>580</v>
      </c>
    </row>
    <row r="3317" spans="1:8" x14ac:dyDescent="0.25">
      <c r="A3317" s="10">
        <v>3779</v>
      </c>
      <c r="B3317" t="s">
        <v>3953</v>
      </c>
      <c r="C3317" s="1" t="s">
        <v>3949</v>
      </c>
      <c r="D3317" s="24" t="s">
        <v>4329</v>
      </c>
      <c r="E3317">
        <v>567</v>
      </c>
      <c r="F3317">
        <v>620</v>
      </c>
      <c r="G3317">
        <v>720</v>
      </c>
      <c r="H3317">
        <v>850</v>
      </c>
    </row>
    <row r="3318" spans="1:8" x14ac:dyDescent="0.25">
      <c r="A3318" s="10">
        <v>3780</v>
      </c>
      <c r="B3318" t="s">
        <v>3953</v>
      </c>
      <c r="C3318" s="1" t="s">
        <v>3950</v>
      </c>
      <c r="D3318" s="24" t="s">
        <v>4329</v>
      </c>
      <c r="E3318">
        <v>714</v>
      </c>
      <c r="F3318">
        <v>850</v>
      </c>
      <c r="G3318">
        <v>900</v>
      </c>
      <c r="H3318">
        <v>1070</v>
      </c>
    </row>
    <row r="3319" spans="1:8" x14ac:dyDescent="0.25">
      <c r="A3319" s="10">
        <v>3781</v>
      </c>
      <c r="B3319" t="s">
        <v>3953</v>
      </c>
      <c r="C3319" s="1" t="s">
        <v>3951</v>
      </c>
      <c r="D3319" s="24" t="s">
        <v>4329</v>
      </c>
      <c r="E3319">
        <v>887</v>
      </c>
      <c r="F3319">
        <v>950</v>
      </c>
      <c r="G3319">
        <v>1120</v>
      </c>
      <c r="H3319">
        <v>1330</v>
      </c>
    </row>
    <row r="3320" spans="1:8" x14ac:dyDescent="0.25">
      <c r="A3320" s="10">
        <v>3782</v>
      </c>
      <c r="B3320" t="s">
        <v>3953</v>
      </c>
      <c r="C3320" s="1" t="s">
        <v>3952</v>
      </c>
      <c r="D3320" s="24" t="s">
        <v>4329</v>
      </c>
      <c r="E3320">
        <v>473</v>
      </c>
      <c r="F3320">
        <v>490</v>
      </c>
      <c r="G3320">
        <v>500</v>
      </c>
      <c r="H3320">
        <v>760</v>
      </c>
    </row>
    <row r="3322" spans="1:8" x14ac:dyDescent="0.25">
      <c r="A3322" s="10">
        <v>3783</v>
      </c>
      <c r="B3322" s="2" t="s">
        <v>3970</v>
      </c>
      <c r="C3322" s="1" t="s">
        <v>3974</v>
      </c>
      <c r="D3322" s="1" t="s">
        <v>4011</v>
      </c>
      <c r="E3322">
        <v>450</v>
      </c>
      <c r="F3322">
        <v>500</v>
      </c>
      <c r="G3322">
        <v>520</v>
      </c>
      <c r="H3322">
        <v>545</v>
      </c>
    </row>
    <row r="3323" spans="1:8" x14ac:dyDescent="0.25">
      <c r="A3323" s="10">
        <v>3784</v>
      </c>
      <c r="B3323" s="2" t="s">
        <v>3971</v>
      </c>
      <c r="C3323" s="1" t="s">
        <v>3974</v>
      </c>
      <c r="D3323" s="1">
        <v>166</v>
      </c>
      <c r="E3323">
        <v>600</v>
      </c>
      <c r="F3323">
        <v>650</v>
      </c>
      <c r="G3323">
        <v>680</v>
      </c>
      <c r="H3323">
        <v>715</v>
      </c>
    </row>
    <row r="3324" spans="1:8" x14ac:dyDescent="0.25">
      <c r="A3324" s="10">
        <v>3785</v>
      </c>
      <c r="B3324" s="2" t="s">
        <v>3972</v>
      </c>
      <c r="C3324" s="1" t="s">
        <v>3974</v>
      </c>
      <c r="D3324" s="1">
        <v>166</v>
      </c>
      <c r="E3324">
        <v>750</v>
      </c>
      <c r="F3324">
        <v>820</v>
      </c>
      <c r="G3324">
        <v>850</v>
      </c>
      <c r="H3324">
        <v>875</v>
      </c>
    </row>
    <row r="3325" spans="1:8" x14ac:dyDescent="0.25">
      <c r="A3325" s="10">
        <v>3786</v>
      </c>
      <c r="B3325" s="2" t="s">
        <v>3973</v>
      </c>
      <c r="C3325" s="1" t="s">
        <v>3974</v>
      </c>
      <c r="D3325" s="1">
        <v>166</v>
      </c>
      <c r="E3325">
        <v>900</v>
      </c>
      <c r="F3325">
        <v>950</v>
      </c>
      <c r="G3325">
        <v>1020</v>
      </c>
      <c r="H3325">
        <v>1050</v>
      </c>
    </row>
    <row r="3327" spans="1:8" x14ac:dyDescent="0.25">
      <c r="A3327" s="10">
        <v>3787</v>
      </c>
      <c r="B3327" s="2" t="s">
        <v>4021</v>
      </c>
      <c r="C3327" s="1" t="s">
        <v>4016</v>
      </c>
      <c r="D3327" s="1" t="s">
        <v>4022</v>
      </c>
      <c r="E3327">
        <v>352</v>
      </c>
      <c r="F3327">
        <v>400</v>
      </c>
      <c r="G3327">
        <v>480</v>
      </c>
      <c r="H3327">
        <v>505</v>
      </c>
    </row>
    <row r="3328" spans="1:8" x14ac:dyDescent="0.25">
      <c r="A3328" s="10">
        <v>3788</v>
      </c>
      <c r="B3328" s="2" t="s">
        <v>4021</v>
      </c>
      <c r="C3328" s="1" t="s">
        <v>4017</v>
      </c>
      <c r="D3328" s="1">
        <v>167</v>
      </c>
      <c r="E3328">
        <v>352</v>
      </c>
      <c r="F3328">
        <v>400</v>
      </c>
      <c r="G3328">
        <v>480</v>
      </c>
      <c r="H3328">
        <v>505</v>
      </c>
    </row>
    <row r="3329" spans="1:8" x14ac:dyDescent="0.25">
      <c r="A3329" s="10">
        <v>3789</v>
      </c>
      <c r="B3329" s="2" t="s">
        <v>4021</v>
      </c>
      <c r="C3329" s="1" t="s">
        <v>4013</v>
      </c>
      <c r="D3329" s="1">
        <v>167</v>
      </c>
      <c r="E3329">
        <v>120</v>
      </c>
      <c r="F3329">
        <v>160</v>
      </c>
      <c r="G3329">
        <v>200</v>
      </c>
      <c r="H3329">
        <v>215</v>
      </c>
    </row>
    <row r="3330" spans="1:8" x14ac:dyDescent="0.25">
      <c r="A3330" s="10">
        <v>3790</v>
      </c>
      <c r="B3330" s="2" t="s">
        <v>4021</v>
      </c>
      <c r="C3330" s="1" t="s">
        <v>4014</v>
      </c>
      <c r="D3330" s="1">
        <v>167</v>
      </c>
      <c r="E3330">
        <v>120</v>
      </c>
      <c r="F3330">
        <v>160</v>
      </c>
      <c r="G3330">
        <v>180</v>
      </c>
      <c r="H3330">
        <v>195</v>
      </c>
    </row>
    <row r="3331" spans="1:8" x14ac:dyDescent="0.25">
      <c r="A3331" s="10">
        <v>3791</v>
      </c>
      <c r="B3331" s="2" t="s">
        <v>4021</v>
      </c>
      <c r="C3331" s="1" t="s">
        <v>4015</v>
      </c>
      <c r="D3331" s="1">
        <v>167</v>
      </c>
      <c r="E3331">
        <v>240</v>
      </c>
      <c r="F3331">
        <v>300</v>
      </c>
      <c r="G3331">
        <v>350</v>
      </c>
      <c r="H3331">
        <v>365</v>
      </c>
    </row>
    <row r="3332" spans="1:8" x14ac:dyDescent="0.25">
      <c r="A3332" s="10">
        <v>3792</v>
      </c>
      <c r="B3332" s="2" t="s">
        <v>4021</v>
      </c>
      <c r="C3332" s="1" t="s">
        <v>4020</v>
      </c>
      <c r="D3332" s="1">
        <v>167</v>
      </c>
      <c r="E3332">
        <v>450</v>
      </c>
      <c r="F3332">
        <v>520</v>
      </c>
      <c r="G3332">
        <v>580</v>
      </c>
      <c r="H3332">
        <v>595</v>
      </c>
    </row>
    <row r="3333" spans="1:8" x14ac:dyDescent="0.25">
      <c r="A3333" s="10">
        <v>3793</v>
      </c>
      <c r="B3333" s="2" t="s">
        <v>4021</v>
      </c>
      <c r="C3333" s="1" t="s">
        <v>4018</v>
      </c>
      <c r="D3333" s="1">
        <v>167</v>
      </c>
      <c r="E3333">
        <v>120</v>
      </c>
      <c r="F3333">
        <v>160</v>
      </c>
      <c r="G3333">
        <v>200</v>
      </c>
      <c r="H3333">
        <v>210</v>
      </c>
    </row>
    <row r="3334" spans="1:8" x14ac:dyDescent="0.25">
      <c r="A3334" s="10">
        <v>3794</v>
      </c>
      <c r="B3334" s="2" t="s">
        <v>4021</v>
      </c>
      <c r="C3334" s="1" t="s">
        <v>4019</v>
      </c>
      <c r="D3334" s="1">
        <v>167</v>
      </c>
      <c r="E3334">
        <v>120</v>
      </c>
      <c r="F3334">
        <v>160</v>
      </c>
      <c r="G3334">
        <v>200</v>
      </c>
      <c r="H3334">
        <v>210</v>
      </c>
    </row>
    <row r="3335" spans="1:8" x14ac:dyDescent="0.25">
      <c r="A3335" s="10">
        <v>3795</v>
      </c>
      <c r="B3335" s="2" t="s">
        <v>2293</v>
      </c>
      <c r="C3335" s="1" t="s">
        <v>2290</v>
      </c>
      <c r="D3335" s="20" t="s">
        <v>4096</v>
      </c>
      <c r="E3335">
        <v>2800</v>
      </c>
      <c r="F3335">
        <v>2800</v>
      </c>
      <c r="G3335">
        <v>3000</v>
      </c>
      <c r="H3335">
        <v>4950</v>
      </c>
    </row>
    <row r="3337" spans="1:8" x14ac:dyDescent="0.25">
      <c r="A3337" s="10">
        <v>3796</v>
      </c>
      <c r="B3337" s="2" t="s">
        <v>4097</v>
      </c>
      <c r="C3337" s="1" t="s">
        <v>4090</v>
      </c>
      <c r="D3337" s="1" t="s">
        <v>4098</v>
      </c>
      <c r="E3337">
        <v>780</v>
      </c>
      <c r="F3337">
        <f>SUM(E3337+100)</f>
        <v>880</v>
      </c>
      <c r="G3337">
        <v>980</v>
      </c>
      <c r="H3337">
        <v>995</v>
      </c>
    </row>
    <row r="3338" spans="1:8" x14ac:dyDescent="0.25">
      <c r="A3338" s="10">
        <v>3797</v>
      </c>
      <c r="B3338" s="2" t="s">
        <v>4097</v>
      </c>
      <c r="C3338" s="1" t="s">
        <v>4091</v>
      </c>
      <c r="D3338" s="1">
        <v>168</v>
      </c>
      <c r="E3338">
        <v>1325</v>
      </c>
      <c r="F3338">
        <f t="shared" ref="F3338:F3342" si="77">SUM(E3338+100)</f>
        <v>1425</v>
      </c>
      <c r="G3338">
        <v>1950</v>
      </c>
      <c r="H3338">
        <v>1975</v>
      </c>
    </row>
    <row r="3339" spans="1:8" x14ac:dyDescent="0.25">
      <c r="A3339" s="10">
        <v>3798</v>
      </c>
      <c r="B3339" s="2" t="s">
        <v>4097</v>
      </c>
      <c r="C3339" s="1" t="s">
        <v>4092</v>
      </c>
      <c r="D3339" s="1">
        <v>168</v>
      </c>
      <c r="E3339">
        <v>1596</v>
      </c>
      <c r="F3339">
        <f t="shared" si="77"/>
        <v>1696</v>
      </c>
      <c r="G3339">
        <v>2450</v>
      </c>
      <c r="H3339">
        <v>2475</v>
      </c>
    </row>
    <row r="3340" spans="1:8" x14ac:dyDescent="0.25">
      <c r="A3340" s="10">
        <v>3799</v>
      </c>
      <c r="B3340" s="2" t="s">
        <v>4097</v>
      </c>
      <c r="C3340" s="1" t="s">
        <v>4093</v>
      </c>
      <c r="D3340" s="1">
        <v>168</v>
      </c>
      <c r="E3340">
        <v>2250</v>
      </c>
      <c r="F3340">
        <f t="shared" si="77"/>
        <v>2350</v>
      </c>
      <c r="G3340">
        <v>2950</v>
      </c>
      <c r="H3340">
        <v>2975</v>
      </c>
    </row>
    <row r="3341" spans="1:8" x14ac:dyDescent="0.25">
      <c r="A3341" s="10">
        <v>3800</v>
      </c>
      <c r="B3341" s="2" t="s">
        <v>4097</v>
      </c>
      <c r="C3341" s="1" t="s">
        <v>4094</v>
      </c>
      <c r="D3341" s="1">
        <v>168</v>
      </c>
      <c r="E3341">
        <v>1960</v>
      </c>
      <c r="F3341">
        <f t="shared" si="77"/>
        <v>2060</v>
      </c>
      <c r="G3341">
        <v>2950</v>
      </c>
      <c r="H3341">
        <v>2975</v>
      </c>
    </row>
    <row r="3342" spans="1:8" x14ac:dyDescent="0.25">
      <c r="A3342" s="10">
        <v>3801</v>
      </c>
      <c r="B3342" s="2" t="s">
        <v>4097</v>
      </c>
      <c r="C3342" s="1" t="s">
        <v>4095</v>
      </c>
      <c r="D3342" s="1">
        <v>168</v>
      </c>
      <c r="E3342">
        <v>1350</v>
      </c>
      <c r="F3342">
        <f t="shared" si="77"/>
        <v>1450</v>
      </c>
      <c r="G3342">
        <v>1950</v>
      </c>
      <c r="H3342">
        <v>1975</v>
      </c>
    </row>
    <row r="3344" spans="1:8" x14ac:dyDescent="0.25">
      <c r="A3344" s="10">
        <v>3802</v>
      </c>
      <c r="B3344" s="2" t="s">
        <v>3975</v>
      </c>
      <c r="C3344" s="1" t="s">
        <v>4100</v>
      </c>
      <c r="D3344" s="1">
        <v>164</v>
      </c>
      <c r="E3344">
        <v>200</v>
      </c>
      <c r="F3344">
        <v>300</v>
      </c>
      <c r="G3344">
        <v>380</v>
      </c>
      <c r="H3344">
        <v>395</v>
      </c>
    </row>
    <row r="3346" spans="1:8" x14ac:dyDescent="0.25">
      <c r="A3346" s="10">
        <v>3803</v>
      </c>
      <c r="B3346" s="2" t="s">
        <v>3868</v>
      </c>
      <c r="C3346" s="1" t="s">
        <v>4101</v>
      </c>
      <c r="D3346" s="1" t="s">
        <v>3877</v>
      </c>
      <c r="E3346">
        <v>320</v>
      </c>
      <c r="F3346">
        <v>550</v>
      </c>
      <c r="G3346">
        <v>680</v>
      </c>
      <c r="H3346">
        <v>695</v>
      </c>
    </row>
    <row r="3347" spans="1:8" x14ac:dyDescent="0.25">
      <c r="A3347" s="10">
        <v>3804</v>
      </c>
      <c r="B3347" s="2" t="s">
        <v>3868</v>
      </c>
      <c r="C3347" s="1" t="s">
        <v>4102</v>
      </c>
      <c r="D3347" s="1">
        <v>158</v>
      </c>
      <c r="E3347">
        <v>1150</v>
      </c>
      <c r="F3347">
        <v>1600</v>
      </c>
      <c r="G3347">
        <v>1750</v>
      </c>
      <c r="H3347">
        <v>1775</v>
      </c>
    </row>
    <row r="3348" spans="1:8" x14ac:dyDescent="0.25">
      <c r="A3348" s="10">
        <v>3805</v>
      </c>
      <c r="B3348" s="2" t="s">
        <v>3868</v>
      </c>
      <c r="C3348" s="1" t="s">
        <v>4103</v>
      </c>
      <c r="D3348" s="1">
        <v>158</v>
      </c>
      <c r="E3348">
        <v>950</v>
      </c>
      <c r="F3348">
        <v>1500</v>
      </c>
      <c r="G3348">
        <v>1650</v>
      </c>
      <c r="H3348">
        <v>1675</v>
      </c>
    </row>
    <row r="3349" spans="1:8" x14ac:dyDescent="0.25">
      <c r="A3349" s="10">
        <v>3806</v>
      </c>
      <c r="B3349" s="2" t="s">
        <v>3868</v>
      </c>
      <c r="C3349" s="1" t="s">
        <v>4104</v>
      </c>
      <c r="D3349" s="1">
        <v>158</v>
      </c>
      <c r="E3349">
        <v>550</v>
      </c>
      <c r="F3349">
        <v>750</v>
      </c>
      <c r="G3349">
        <v>880</v>
      </c>
      <c r="H3349">
        <v>895</v>
      </c>
    </row>
    <row r="3350" spans="1:8" x14ac:dyDescent="0.25">
      <c r="F3350" t="s">
        <v>3015</v>
      </c>
    </row>
    <row r="3351" spans="1:8" x14ac:dyDescent="0.25">
      <c r="A3351" s="10">
        <v>3807</v>
      </c>
      <c r="B3351" s="2" t="s">
        <v>4136</v>
      </c>
      <c r="C3351" s="1" t="s">
        <v>4108</v>
      </c>
      <c r="D3351" s="1" t="s">
        <v>4137</v>
      </c>
      <c r="E3351">
        <v>160</v>
      </c>
      <c r="F3351">
        <v>230</v>
      </c>
      <c r="G3351">
        <v>280</v>
      </c>
      <c r="H3351">
        <v>295</v>
      </c>
    </row>
    <row r="3352" spans="1:8" x14ac:dyDescent="0.25">
      <c r="A3352" s="10">
        <v>3808</v>
      </c>
      <c r="B3352" s="2" t="s">
        <v>4136</v>
      </c>
      <c r="C3352" s="1" t="s">
        <v>4106</v>
      </c>
      <c r="D3352" s="1">
        <v>169</v>
      </c>
      <c r="E3352">
        <v>210</v>
      </c>
      <c r="F3352">
        <v>300</v>
      </c>
      <c r="G3352">
        <v>350</v>
      </c>
      <c r="H3352">
        <v>375</v>
      </c>
    </row>
    <row r="3353" spans="1:8" x14ac:dyDescent="0.25">
      <c r="A3353" s="10">
        <v>3809</v>
      </c>
      <c r="B3353" s="2" t="s">
        <v>4136</v>
      </c>
      <c r="C3353" s="1" t="s">
        <v>4107</v>
      </c>
      <c r="D3353" s="1">
        <v>169</v>
      </c>
      <c r="E3353">
        <v>140</v>
      </c>
      <c r="F3353">
        <v>200</v>
      </c>
      <c r="G3353">
        <v>280</v>
      </c>
      <c r="H3353">
        <v>295</v>
      </c>
    </row>
    <row r="3354" spans="1:8" x14ac:dyDescent="0.25">
      <c r="A3354" s="10">
        <v>3810</v>
      </c>
      <c r="B3354" s="2" t="s">
        <v>4136</v>
      </c>
      <c r="C3354" s="1" t="s">
        <v>4105</v>
      </c>
      <c r="D3354" s="1">
        <v>169</v>
      </c>
      <c r="E3354">
        <v>230</v>
      </c>
      <c r="F3354">
        <v>300</v>
      </c>
      <c r="G3354">
        <v>350</v>
      </c>
      <c r="H3354">
        <v>375</v>
      </c>
    </row>
    <row r="3355" spans="1:8" x14ac:dyDescent="0.25">
      <c r="A3355" s="10">
        <v>3811</v>
      </c>
      <c r="B3355" s="2" t="s">
        <v>4136</v>
      </c>
      <c r="C3355" s="1" t="s">
        <v>4109</v>
      </c>
      <c r="D3355" s="1">
        <v>169</v>
      </c>
      <c r="E3355">
        <v>160</v>
      </c>
      <c r="F3355">
        <v>180</v>
      </c>
      <c r="G3355">
        <v>220</v>
      </c>
      <c r="H3355">
        <v>225</v>
      </c>
    </row>
    <row r="3356" spans="1:8" x14ac:dyDescent="0.25">
      <c r="A3356" s="10">
        <v>3812</v>
      </c>
      <c r="B3356" s="2" t="s">
        <v>4136</v>
      </c>
      <c r="C3356" s="1" t="s">
        <v>4129</v>
      </c>
      <c r="D3356" s="1">
        <v>169</v>
      </c>
      <c r="E3356">
        <v>286</v>
      </c>
      <c r="F3356">
        <v>350</v>
      </c>
      <c r="G3356">
        <v>480</v>
      </c>
      <c r="H3356">
        <v>495</v>
      </c>
    </row>
    <row r="3357" spans="1:8" x14ac:dyDescent="0.25">
      <c r="A3357" s="10">
        <v>3813</v>
      </c>
      <c r="B3357" s="2" t="s">
        <v>4136</v>
      </c>
      <c r="C3357" s="1" t="s">
        <v>4110</v>
      </c>
      <c r="D3357" s="1">
        <v>169</v>
      </c>
    </row>
    <row r="3358" spans="1:8" x14ac:dyDescent="0.25">
      <c r="A3358" s="10">
        <v>3814</v>
      </c>
      <c r="B3358" s="2" t="s">
        <v>4136</v>
      </c>
      <c r="C3358" s="1" t="s">
        <v>4111</v>
      </c>
      <c r="D3358" s="1">
        <v>169</v>
      </c>
      <c r="E3358">
        <v>260</v>
      </c>
      <c r="F3358">
        <v>350</v>
      </c>
      <c r="G3358">
        <v>480</v>
      </c>
      <c r="H3358">
        <v>495</v>
      </c>
    </row>
    <row r="3359" spans="1:8" x14ac:dyDescent="0.25">
      <c r="A3359" s="10">
        <v>3815</v>
      </c>
      <c r="B3359" s="2" t="s">
        <v>4136</v>
      </c>
      <c r="C3359" s="1" t="s">
        <v>4112</v>
      </c>
      <c r="D3359" s="1">
        <v>169</v>
      </c>
    </row>
    <row r="3360" spans="1:8" x14ac:dyDescent="0.25">
      <c r="A3360" s="10">
        <v>3816</v>
      </c>
      <c r="B3360" s="2" t="s">
        <v>4136</v>
      </c>
      <c r="C3360" s="1" t="s">
        <v>4113</v>
      </c>
      <c r="D3360" s="1">
        <v>169</v>
      </c>
    </row>
    <row r="3361" spans="1:8" x14ac:dyDescent="0.25">
      <c r="A3361" s="10">
        <v>3817</v>
      </c>
      <c r="B3361" s="2" t="s">
        <v>4136</v>
      </c>
      <c r="C3361" s="1" t="s">
        <v>4114</v>
      </c>
      <c r="D3361" s="1">
        <v>169</v>
      </c>
      <c r="E3361">
        <v>289</v>
      </c>
      <c r="F3361">
        <v>450</v>
      </c>
      <c r="G3361">
        <v>580</v>
      </c>
      <c r="H3361">
        <v>595</v>
      </c>
    </row>
    <row r="3362" spans="1:8" x14ac:dyDescent="0.25">
      <c r="A3362" s="10">
        <v>3818</v>
      </c>
      <c r="B3362" s="2" t="s">
        <v>4136</v>
      </c>
      <c r="C3362" s="1" t="s">
        <v>4130</v>
      </c>
      <c r="D3362" s="1">
        <v>169</v>
      </c>
      <c r="E3362">
        <v>330</v>
      </c>
      <c r="F3362">
        <v>450</v>
      </c>
      <c r="G3362">
        <v>580</v>
      </c>
      <c r="H3362">
        <v>595</v>
      </c>
    </row>
    <row r="3363" spans="1:8" x14ac:dyDescent="0.25">
      <c r="A3363" s="10">
        <v>3819</v>
      </c>
      <c r="B3363" s="2" t="s">
        <v>4136</v>
      </c>
      <c r="C3363" s="1" t="s">
        <v>4115</v>
      </c>
      <c r="D3363" s="1">
        <v>169</v>
      </c>
    </row>
    <row r="3364" spans="1:8" x14ac:dyDescent="0.25">
      <c r="A3364" s="10">
        <v>3820</v>
      </c>
      <c r="B3364" s="2" t="s">
        <v>4136</v>
      </c>
      <c r="C3364" s="1" t="s">
        <v>4116</v>
      </c>
      <c r="D3364" s="1">
        <v>169</v>
      </c>
    </row>
    <row r="3365" spans="1:8" x14ac:dyDescent="0.25">
      <c r="A3365" s="10">
        <v>3821</v>
      </c>
      <c r="B3365" s="2" t="s">
        <v>4136</v>
      </c>
      <c r="C3365" s="1" t="s">
        <v>4131</v>
      </c>
      <c r="D3365" s="1">
        <v>169</v>
      </c>
      <c r="E3365">
        <v>295</v>
      </c>
      <c r="F3365">
        <v>350</v>
      </c>
      <c r="G3365">
        <v>450</v>
      </c>
      <c r="H3365">
        <v>475</v>
      </c>
    </row>
    <row r="3366" spans="1:8" x14ac:dyDescent="0.25">
      <c r="A3366" s="10">
        <v>3822</v>
      </c>
      <c r="B3366" s="2" t="s">
        <v>4136</v>
      </c>
      <c r="C3366" s="1" t="s">
        <v>4132</v>
      </c>
      <c r="D3366" s="1">
        <v>169</v>
      </c>
      <c r="E3366">
        <v>225</v>
      </c>
      <c r="F3366">
        <v>350</v>
      </c>
      <c r="G3366">
        <v>480</v>
      </c>
      <c r="H3366">
        <v>495</v>
      </c>
    </row>
    <row r="3367" spans="1:8" x14ac:dyDescent="0.25">
      <c r="A3367" s="10">
        <v>3823</v>
      </c>
      <c r="B3367" s="2" t="s">
        <v>4136</v>
      </c>
      <c r="C3367" s="1" t="s">
        <v>4117</v>
      </c>
      <c r="D3367" s="1">
        <v>169</v>
      </c>
    </row>
    <row r="3368" spans="1:8" x14ac:dyDescent="0.25">
      <c r="A3368" s="10">
        <v>3824</v>
      </c>
      <c r="B3368" s="2" t="s">
        <v>4136</v>
      </c>
      <c r="C3368" s="1" t="s">
        <v>4118</v>
      </c>
      <c r="D3368" s="1">
        <v>169</v>
      </c>
    </row>
    <row r="3369" spans="1:8" x14ac:dyDescent="0.25">
      <c r="A3369" s="10">
        <v>3825</v>
      </c>
      <c r="B3369" s="2" t="s">
        <v>4136</v>
      </c>
      <c r="C3369" s="1" t="s">
        <v>4133</v>
      </c>
      <c r="D3369" s="1">
        <v>169</v>
      </c>
      <c r="E3369">
        <v>565</v>
      </c>
      <c r="F3369">
        <v>650</v>
      </c>
      <c r="G3369">
        <v>780</v>
      </c>
      <c r="H3369">
        <v>795</v>
      </c>
    </row>
    <row r="3370" spans="1:8" x14ac:dyDescent="0.25">
      <c r="A3370" s="10">
        <v>3826</v>
      </c>
      <c r="B3370" s="2" t="s">
        <v>4136</v>
      </c>
      <c r="C3370" s="1" t="s">
        <v>4119</v>
      </c>
      <c r="D3370" s="1">
        <v>169</v>
      </c>
    </row>
    <row r="3371" spans="1:8" x14ac:dyDescent="0.25">
      <c r="A3371" s="10">
        <v>3827</v>
      </c>
      <c r="B3371" s="2" t="s">
        <v>4136</v>
      </c>
      <c r="C3371" s="1" t="s">
        <v>4120</v>
      </c>
      <c r="D3371" s="1">
        <v>169</v>
      </c>
    </row>
    <row r="3372" spans="1:8" x14ac:dyDescent="0.25">
      <c r="A3372" s="10">
        <v>3828</v>
      </c>
      <c r="B3372" s="2" t="s">
        <v>4136</v>
      </c>
      <c r="C3372" s="1" t="s">
        <v>4121</v>
      </c>
      <c r="D3372" s="1">
        <v>169</v>
      </c>
    </row>
    <row r="3373" spans="1:8" x14ac:dyDescent="0.25">
      <c r="A3373" s="10">
        <v>3829</v>
      </c>
      <c r="B3373" s="2" t="s">
        <v>4136</v>
      </c>
      <c r="C3373" s="1" t="s">
        <v>4122</v>
      </c>
      <c r="D3373" s="1">
        <v>169</v>
      </c>
    </row>
    <row r="3374" spans="1:8" x14ac:dyDescent="0.25">
      <c r="A3374" s="10">
        <v>3830</v>
      </c>
      <c r="B3374" s="2" t="s">
        <v>4136</v>
      </c>
      <c r="C3374" s="1" t="s">
        <v>4123</v>
      </c>
      <c r="D3374" s="1">
        <v>169</v>
      </c>
      <c r="E3374">
        <v>510</v>
      </c>
      <c r="F3374">
        <v>650</v>
      </c>
      <c r="G3374">
        <v>780</v>
      </c>
      <c r="H3374">
        <v>795</v>
      </c>
    </row>
    <row r="3375" spans="1:8" x14ac:dyDescent="0.25">
      <c r="A3375" s="10">
        <v>3831</v>
      </c>
      <c r="B3375" s="2" t="s">
        <v>4136</v>
      </c>
      <c r="C3375" s="1" t="s">
        <v>4124</v>
      </c>
      <c r="D3375" s="1">
        <v>169</v>
      </c>
    </row>
    <row r="3376" spans="1:8" x14ac:dyDescent="0.25">
      <c r="A3376" s="10">
        <v>3832</v>
      </c>
      <c r="B3376" s="2" t="s">
        <v>4136</v>
      </c>
      <c r="C3376" s="1" t="s">
        <v>4125</v>
      </c>
      <c r="D3376" s="1">
        <v>169</v>
      </c>
    </row>
    <row r="3377" spans="1:8" x14ac:dyDescent="0.25">
      <c r="A3377" s="10">
        <v>3833</v>
      </c>
      <c r="B3377" s="2" t="s">
        <v>4136</v>
      </c>
      <c r="C3377" s="1" t="s">
        <v>4134</v>
      </c>
      <c r="D3377" s="1">
        <v>169</v>
      </c>
      <c r="E3377">
        <v>896</v>
      </c>
      <c r="F3377">
        <v>1100</v>
      </c>
      <c r="G3377">
        <v>1280</v>
      </c>
      <c r="H3377">
        <v>1295</v>
      </c>
    </row>
    <row r="3378" spans="1:8" x14ac:dyDescent="0.25">
      <c r="A3378" s="10">
        <v>3834</v>
      </c>
      <c r="B3378" s="2" t="s">
        <v>4136</v>
      </c>
      <c r="C3378" s="1" t="s">
        <v>4126</v>
      </c>
      <c r="D3378" s="1">
        <v>169</v>
      </c>
    </row>
    <row r="3379" spans="1:8" x14ac:dyDescent="0.25">
      <c r="A3379" s="10">
        <v>3835</v>
      </c>
      <c r="B3379" s="2" t="s">
        <v>4136</v>
      </c>
      <c r="C3379" s="1" t="s">
        <v>4127</v>
      </c>
      <c r="D3379" s="1">
        <v>169</v>
      </c>
    </row>
    <row r="3380" spans="1:8" x14ac:dyDescent="0.25">
      <c r="A3380" s="10">
        <v>3836</v>
      </c>
      <c r="B3380" s="2" t="s">
        <v>4136</v>
      </c>
      <c r="C3380" s="1" t="s">
        <v>4128</v>
      </c>
      <c r="D3380" s="1">
        <v>169</v>
      </c>
    </row>
    <row r="3381" spans="1:8" x14ac:dyDescent="0.25">
      <c r="A3381" s="10">
        <v>3837</v>
      </c>
      <c r="B3381" s="2" t="s">
        <v>4136</v>
      </c>
      <c r="C3381" s="1" t="s">
        <v>4135</v>
      </c>
      <c r="D3381" s="1">
        <v>169</v>
      </c>
      <c r="E3381">
        <v>1848</v>
      </c>
      <c r="F3381">
        <v>2300</v>
      </c>
      <c r="G3381">
        <v>2650</v>
      </c>
      <c r="H3381">
        <v>2675</v>
      </c>
    </row>
    <row r="3382" spans="1:8" x14ac:dyDescent="0.25">
      <c r="B3382" s="2"/>
    </row>
    <row r="3384" spans="1:8" x14ac:dyDescent="0.25">
      <c r="A3384" s="10">
        <v>3838</v>
      </c>
      <c r="B3384" s="2" t="s">
        <v>212</v>
      </c>
      <c r="C3384" s="1" t="s">
        <v>4138</v>
      </c>
      <c r="D3384" s="1" t="s">
        <v>238</v>
      </c>
      <c r="E3384">
        <v>1040</v>
      </c>
      <c r="F3384">
        <v>1350</v>
      </c>
      <c r="G3384">
        <v>1650</v>
      </c>
      <c r="H3384">
        <v>1675</v>
      </c>
    </row>
    <row r="3385" spans="1:8" x14ac:dyDescent="0.25">
      <c r="A3385" s="10">
        <v>3839</v>
      </c>
      <c r="B3385" s="2" t="s">
        <v>4141</v>
      </c>
      <c r="C3385" s="1" t="s">
        <v>4140</v>
      </c>
      <c r="D3385" s="1" t="s">
        <v>99</v>
      </c>
      <c r="E3385">
        <v>170</v>
      </c>
      <c r="F3385">
        <v>190</v>
      </c>
      <c r="G3385">
        <v>230</v>
      </c>
      <c r="H3385">
        <v>245</v>
      </c>
    </row>
    <row r="3387" spans="1:8" x14ac:dyDescent="0.25">
      <c r="A3387">
        <v>3840</v>
      </c>
      <c r="B3387" t="s">
        <v>4142</v>
      </c>
      <c r="C3387" s="2" t="s">
        <v>3011</v>
      </c>
      <c r="D3387" s="1" t="s">
        <v>4143</v>
      </c>
      <c r="E3387">
        <v>300</v>
      </c>
      <c r="F3387">
        <v>350</v>
      </c>
      <c r="G3387">
        <v>380</v>
      </c>
      <c r="H3387">
        <v>295</v>
      </c>
    </row>
    <row r="3388" spans="1:8" x14ac:dyDescent="0.25">
      <c r="A3388" s="10">
        <v>3841</v>
      </c>
      <c r="B3388" t="s">
        <v>4142</v>
      </c>
      <c r="C3388" s="2" t="s">
        <v>3012</v>
      </c>
      <c r="D3388" s="1">
        <v>170</v>
      </c>
    </row>
    <row r="3389" spans="1:8" x14ac:dyDescent="0.25">
      <c r="A3389">
        <v>3842</v>
      </c>
      <c r="B3389" t="s">
        <v>4142</v>
      </c>
      <c r="C3389" s="2" t="s">
        <v>3013</v>
      </c>
      <c r="D3389" s="1">
        <v>170</v>
      </c>
    </row>
    <row r="3390" spans="1:8" x14ac:dyDescent="0.25">
      <c r="A3390" s="10">
        <v>3843</v>
      </c>
      <c r="B3390" t="s">
        <v>4142</v>
      </c>
      <c r="C3390" s="2" t="s">
        <v>3014</v>
      </c>
      <c r="D3390" s="1">
        <v>170</v>
      </c>
      <c r="E3390">
        <v>385</v>
      </c>
      <c r="F3390">
        <v>420</v>
      </c>
      <c r="G3390">
        <v>480</v>
      </c>
    </row>
    <row r="3391" spans="1:8" x14ac:dyDescent="0.25">
      <c r="A3391">
        <v>3844</v>
      </c>
      <c r="B3391" t="s">
        <v>4142</v>
      </c>
      <c r="C3391" s="2" t="s">
        <v>3010</v>
      </c>
      <c r="D3391" s="1">
        <v>170</v>
      </c>
      <c r="E3391">
        <v>280</v>
      </c>
      <c r="F3391">
        <v>320</v>
      </c>
      <c r="G3391">
        <v>380</v>
      </c>
    </row>
    <row r="3392" spans="1:8" x14ac:dyDescent="0.25">
      <c r="C3392" s="2"/>
    </row>
    <row r="3393" spans="1:4" x14ac:dyDescent="0.25">
      <c r="A3393"/>
    </row>
    <row r="3394" spans="1:4" x14ac:dyDescent="0.25">
      <c r="A3394" s="10">
        <v>3845</v>
      </c>
      <c r="B3394" s="3" t="s">
        <v>4146</v>
      </c>
      <c r="C3394" s="2" t="s">
        <v>4028</v>
      </c>
      <c r="D3394" s="1">
        <v>280</v>
      </c>
    </row>
    <row r="3395" spans="1:4" x14ac:dyDescent="0.25">
      <c r="A3395">
        <v>3846</v>
      </c>
      <c r="B3395" s="3" t="s">
        <v>4146</v>
      </c>
      <c r="C3395" s="2" t="s">
        <v>4029</v>
      </c>
      <c r="D3395" s="1">
        <v>171</v>
      </c>
    </row>
    <row r="3396" spans="1:4" x14ac:dyDescent="0.25">
      <c r="A3396" s="10">
        <v>3847</v>
      </c>
      <c r="B3396" s="3" t="s">
        <v>4146</v>
      </c>
      <c r="C3396" s="2" t="s">
        <v>4030</v>
      </c>
      <c r="D3396" s="1">
        <v>171</v>
      </c>
    </row>
    <row r="3397" spans="1:4" x14ac:dyDescent="0.25">
      <c r="A3397">
        <v>3848</v>
      </c>
      <c r="B3397" s="3" t="s">
        <v>4146</v>
      </c>
      <c r="C3397" s="2" t="s">
        <v>4031</v>
      </c>
      <c r="D3397" s="1">
        <v>171</v>
      </c>
    </row>
    <row r="3398" spans="1:4" x14ac:dyDescent="0.25">
      <c r="A3398" s="10">
        <v>3849</v>
      </c>
      <c r="B3398" s="3" t="s">
        <v>4146</v>
      </c>
      <c r="C3398" s="2" t="s">
        <v>4032</v>
      </c>
      <c r="D3398" s="1">
        <v>171</v>
      </c>
    </row>
    <row r="3399" spans="1:4" x14ac:dyDescent="0.25">
      <c r="A3399">
        <v>3850</v>
      </c>
      <c r="B3399" s="3" t="s">
        <v>4146</v>
      </c>
      <c r="C3399" s="2" t="s">
        <v>4067</v>
      </c>
      <c r="D3399" s="1">
        <v>171</v>
      </c>
    </row>
    <row r="3400" spans="1:4" x14ac:dyDescent="0.25">
      <c r="A3400" s="10">
        <v>3851</v>
      </c>
      <c r="B3400" s="3" t="s">
        <v>4146</v>
      </c>
      <c r="C3400" s="2" t="s">
        <v>4068</v>
      </c>
      <c r="D3400" s="1">
        <v>171</v>
      </c>
    </row>
    <row r="3401" spans="1:4" x14ac:dyDescent="0.25">
      <c r="A3401">
        <v>3852</v>
      </c>
      <c r="B3401" s="3" t="s">
        <v>4146</v>
      </c>
      <c r="C3401" s="2" t="s">
        <v>4148</v>
      </c>
      <c r="D3401" s="1">
        <v>171</v>
      </c>
    </row>
    <row r="3402" spans="1:4" x14ac:dyDescent="0.25">
      <c r="A3402" s="10">
        <v>3853</v>
      </c>
      <c r="B3402" s="3" t="s">
        <v>4146</v>
      </c>
      <c r="C3402" s="2" t="s">
        <v>4069</v>
      </c>
      <c r="D3402" s="1">
        <v>171</v>
      </c>
    </row>
    <row r="3403" spans="1:4" x14ac:dyDescent="0.25">
      <c r="A3403">
        <v>3854</v>
      </c>
      <c r="B3403" s="3" t="s">
        <v>4146</v>
      </c>
      <c r="C3403" s="2" t="s">
        <v>4070</v>
      </c>
      <c r="D3403" s="1">
        <v>171</v>
      </c>
    </row>
    <row r="3404" spans="1:4" x14ac:dyDescent="0.25">
      <c r="A3404" s="10">
        <v>3855</v>
      </c>
      <c r="B3404" s="3" t="s">
        <v>4146</v>
      </c>
      <c r="C3404" s="2" t="s">
        <v>4071</v>
      </c>
      <c r="D3404" s="1">
        <v>171</v>
      </c>
    </row>
    <row r="3405" spans="1:4" x14ac:dyDescent="0.25">
      <c r="A3405">
        <v>3856</v>
      </c>
      <c r="B3405" s="3" t="s">
        <v>4146</v>
      </c>
      <c r="C3405" s="2" t="s">
        <v>4072</v>
      </c>
      <c r="D3405" s="1">
        <v>171</v>
      </c>
    </row>
    <row r="3406" spans="1:4" x14ac:dyDescent="0.25">
      <c r="A3406" s="10">
        <v>3857</v>
      </c>
      <c r="B3406" s="3" t="s">
        <v>4146</v>
      </c>
      <c r="C3406" s="2" t="s">
        <v>4073</v>
      </c>
      <c r="D3406" s="1">
        <v>171</v>
      </c>
    </row>
    <row r="3407" spans="1:4" x14ac:dyDescent="0.25">
      <c r="A3407">
        <v>3858</v>
      </c>
      <c r="B3407" s="3" t="s">
        <v>4146</v>
      </c>
      <c r="C3407" s="2" t="s">
        <v>4074</v>
      </c>
      <c r="D3407" s="1">
        <v>171</v>
      </c>
    </row>
    <row r="3408" spans="1:4" x14ac:dyDescent="0.25">
      <c r="A3408" s="10">
        <v>3859</v>
      </c>
      <c r="B3408" s="3" t="s">
        <v>4146</v>
      </c>
      <c r="C3408" s="2" t="s">
        <v>4075</v>
      </c>
      <c r="D3408" s="1">
        <v>171</v>
      </c>
    </row>
    <row r="3409" spans="1:4" x14ac:dyDescent="0.25">
      <c r="A3409">
        <v>3860</v>
      </c>
      <c r="B3409" s="3" t="s">
        <v>4146</v>
      </c>
      <c r="C3409" s="2" t="s">
        <v>4076</v>
      </c>
      <c r="D3409" s="1">
        <v>171</v>
      </c>
    </row>
    <row r="3410" spans="1:4" x14ac:dyDescent="0.25">
      <c r="A3410" s="10">
        <v>3861</v>
      </c>
      <c r="B3410" s="3" t="s">
        <v>4146</v>
      </c>
      <c r="C3410" s="2" t="s">
        <v>4149</v>
      </c>
      <c r="D3410" s="1">
        <v>171</v>
      </c>
    </row>
    <row r="3411" spans="1:4" x14ac:dyDescent="0.25">
      <c r="A3411">
        <v>3862</v>
      </c>
      <c r="B3411" s="3" t="s">
        <v>4146</v>
      </c>
      <c r="C3411" s="2" t="s">
        <v>4077</v>
      </c>
      <c r="D3411" s="1">
        <v>171</v>
      </c>
    </row>
    <row r="3412" spans="1:4" x14ac:dyDescent="0.25">
      <c r="A3412" s="10">
        <v>3863</v>
      </c>
      <c r="B3412" s="3" t="s">
        <v>4146</v>
      </c>
      <c r="C3412" s="2" t="s">
        <v>4078</v>
      </c>
      <c r="D3412" s="1">
        <v>171</v>
      </c>
    </row>
    <row r="3413" spans="1:4" x14ac:dyDescent="0.25">
      <c r="A3413">
        <v>3864</v>
      </c>
      <c r="B3413" s="3" t="s">
        <v>4146</v>
      </c>
      <c r="C3413" s="2" t="s">
        <v>4079</v>
      </c>
      <c r="D3413" s="1">
        <v>171</v>
      </c>
    </row>
    <row r="3414" spans="1:4" x14ac:dyDescent="0.25">
      <c r="A3414" s="10">
        <v>3865</v>
      </c>
      <c r="B3414" s="3" t="s">
        <v>4146</v>
      </c>
      <c r="C3414" s="2" t="s">
        <v>4080</v>
      </c>
      <c r="D3414" s="1">
        <v>171</v>
      </c>
    </row>
    <row r="3415" spans="1:4" x14ac:dyDescent="0.25">
      <c r="A3415">
        <v>3866</v>
      </c>
      <c r="B3415" s="3" t="s">
        <v>4146</v>
      </c>
      <c r="C3415" s="2" t="s">
        <v>4081</v>
      </c>
      <c r="D3415" s="1">
        <v>171</v>
      </c>
    </row>
    <row r="3416" spans="1:4" x14ac:dyDescent="0.25">
      <c r="A3416" s="10">
        <v>3867</v>
      </c>
      <c r="B3416" s="3" t="s">
        <v>4146</v>
      </c>
      <c r="C3416" s="2" t="s">
        <v>4066</v>
      </c>
      <c r="D3416" s="1">
        <v>171</v>
      </c>
    </row>
    <row r="3417" spans="1:4" x14ac:dyDescent="0.25">
      <c r="A3417">
        <v>3868</v>
      </c>
      <c r="B3417" s="3" t="s">
        <v>4146</v>
      </c>
      <c r="C3417" s="2" t="s">
        <v>4065</v>
      </c>
      <c r="D3417" s="1">
        <v>171</v>
      </c>
    </row>
    <row r="3418" spans="1:4" x14ac:dyDescent="0.25">
      <c r="A3418" s="10">
        <v>3869</v>
      </c>
      <c r="B3418" s="3" t="s">
        <v>4146</v>
      </c>
      <c r="C3418" s="2" t="s">
        <v>4064</v>
      </c>
      <c r="D3418" s="1">
        <v>171</v>
      </c>
    </row>
    <row r="3419" spans="1:4" x14ac:dyDescent="0.25">
      <c r="A3419">
        <v>3870</v>
      </c>
      <c r="B3419" s="3" t="s">
        <v>4146</v>
      </c>
      <c r="C3419" s="2" t="s">
        <v>4150</v>
      </c>
      <c r="D3419" s="1">
        <v>171</v>
      </c>
    </row>
    <row r="3420" spans="1:4" x14ac:dyDescent="0.25">
      <c r="A3420" s="10">
        <v>3871</v>
      </c>
      <c r="B3420" s="3" t="s">
        <v>4146</v>
      </c>
      <c r="C3420" s="2" t="s">
        <v>4063</v>
      </c>
      <c r="D3420" s="1">
        <v>171</v>
      </c>
    </row>
    <row r="3421" spans="1:4" x14ac:dyDescent="0.25">
      <c r="A3421">
        <v>3872</v>
      </c>
      <c r="B3421" s="3" t="s">
        <v>4146</v>
      </c>
      <c r="C3421" s="2" t="s">
        <v>4062</v>
      </c>
      <c r="D3421" s="1">
        <v>171</v>
      </c>
    </row>
    <row r="3422" spans="1:4" x14ac:dyDescent="0.25">
      <c r="A3422" s="10">
        <v>3873</v>
      </c>
      <c r="B3422" s="3" t="s">
        <v>4146</v>
      </c>
      <c r="C3422" s="2" t="s">
        <v>4061</v>
      </c>
      <c r="D3422" s="1">
        <v>171</v>
      </c>
    </row>
    <row r="3423" spans="1:4" x14ac:dyDescent="0.25">
      <c r="A3423">
        <v>3874</v>
      </c>
      <c r="B3423" s="3" t="s">
        <v>4146</v>
      </c>
      <c r="C3423" s="2" t="s">
        <v>4060</v>
      </c>
      <c r="D3423" s="1">
        <v>171</v>
      </c>
    </row>
    <row r="3424" spans="1:4" x14ac:dyDescent="0.25">
      <c r="A3424" s="10">
        <v>3875</v>
      </c>
      <c r="B3424" s="3" t="s">
        <v>4146</v>
      </c>
      <c r="C3424" s="2" t="s">
        <v>4059</v>
      </c>
      <c r="D3424" s="1">
        <v>171</v>
      </c>
    </row>
    <row r="3425" spans="1:4" x14ac:dyDescent="0.25">
      <c r="A3425">
        <v>3876</v>
      </c>
      <c r="B3425" s="3" t="s">
        <v>4146</v>
      </c>
      <c r="C3425" s="2" t="s">
        <v>4058</v>
      </c>
      <c r="D3425" s="1">
        <v>171</v>
      </c>
    </row>
    <row r="3426" spans="1:4" x14ac:dyDescent="0.25">
      <c r="A3426" s="10">
        <v>3877</v>
      </c>
      <c r="B3426" s="3" t="s">
        <v>4146</v>
      </c>
      <c r="C3426" s="2" t="s">
        <v>4057</v>
      </c>
      <c r="D3426" s="1">
        <v>171</v>
      </c>
    </row>
    <row r="3427" spans="1:4" x14ac:dyDescent="0.25">
      <c r="A3427">
        <v>3878</v>
      </c>
      <c r="B3427" s="3" t="s">
        <v>4146</v>
      </c>
      <c r="C3427" s="2" t="s">
        <v>4056</v>
      </c>
      <c r="D3427" s="1">
        <v>171</v>
      </c>
    </row>
    <row r="3428" spans="1:4" x14ac:dyDescent="0.25">
      <c r="A3428" s="10">
        <v>3879</v>
      </c>
      <c r="B3428" s="3" t="s">
        <v>4146</v>
      </c>
      <c r="C3428" s="2" t="s">
        <v>4147</v>
      </c>
      <c r="D3428" s="1">
        <v>171</v>
      </c>
    </row>
    <row r="3429" spans="1:4" x14ac:dyDescent="0.25">
      <c r="A3429">
        <v>3880</v>
      </c>
      <c r="B3429" s="3" t="s">
        <v>4146</v>
      </c>
      <c r="C3429" s="2" t="s">
        <v>4055</v>
      </c>
      <c r="D3429" s="1">
        <v>171</v>
      </c>
    </row>
    <row r="3430" spans="1:4" x14ac:dyDescent="0.25">
      <c r="A3430" s="10">
        <v>3881</v>
      </c>
      <c r="B3430" s="3" t="s">
        <v>4146</v>
      </c>
      <c r="C3430" s="2" t="s">
        <v>4144</v>
      </c>
      <c r="D3430" s="1">
        <v>171</v>
      </c>
    </row>
    <row r="3431" spans="1:4" x14ac:dyDescent="0.25">
      <c r="A3431">
        <v>3882</v>
      </c>
      <c r="B3431" s="3" t="s">
        <v>4146</v>
      </c>
      <c r="C3431" s="2" t="s">
        <v>4054</v>
      </c>
      <c r="D3431" s="1">
        <v>171</v>
      </c>
    </row>
    <row r="3432" spans="1:4" x14ac:dyDescent="0.25">
      <c r="A3432" s="10">
        <v>3883</v>
      </c>
      <c r="B3432" s="3" t="s">
        <v>4146</v>
      </c>
      <c r="C3432" s="2" t="s">
        <v>4053</v>
      </c>
      <c r="D3432" s="1">
        <v>171</v>
      </c>
    </row>
    <row r="3433" spans="1:4" x14ac:dyDescent="0.25">
      <c r="A3433">
        <v>3884</v>
      </c>
      <c r="B3433" s="3" t="s">
        <v>4146</v>
      </c>
      <c r="C3433" s="2" t="s">
        <v>4052</v>
      </c>
      <c r="D3433" s="1">
        <v>171</v>
      </c>
    </row>
    <row r="3434" spans="1:4" x14ac:dyDescent="0.25">
      <c r="A3434" s="10">
        <v>3885</v>
      </c>
      <c r="B3434" s="3" t="s">
        <v>4146</v>
      </c>
      <c r="C3434" s="2" t="s">
        <v>4051</v>
      </c>
      <c r="D3434" s="1">
        <v>171</v>
      </c>
    </row>
    <row r="3435" spans="1:4" x14ac:dyDescent="0.25">
      <c r="A3435">
        <v>3886</v>
      </c>
      <c r="B3435" s="3" t="s">
        <v>4146</v>
      </c>
      <c r="C3435" s="2" t="s">
        <v>4050</v>
      </c>
      <c r="D3435" s="1">
        <v>171</v>
      </c>
    </row>
    <row r="3436" spans="1:4" x14ac:dyDescent="0.25">
      <c r="A3436" s="10">
        <v>3887</v>
      </c>
      <c r="B3436" s="3" t="s">
        <v>4146</v>
      </c>
      <c r="C3436" s="2" t="s">
        <v>4049</v>
      </c>
      <c r="D3436" s="1">
        <v>171</v>
      </c>
    </row>
    <row r="3437" spans="1:4" x14ac:dyDescent="0.25">
      <c r="A3437">
        <v>3888</v>
      </c>
      <c r="B3437" s="3" t="s">
        <v>4146</v>
      </c>
      <c r="C3437" s="2" t="s">
        <v>4048</v>
      </c>
      <c r="D3437" s="1">
        <v>171</v>
      </c>
    </row>
    <row r="3438" spans="1:4" x14ac:dyDescent="0.25">
      <c r="A3438" s="10">
        <v>3889</v>
      </c>
      <c r="B3438" s="3" t="s">
        <v>4146</v>
      </c>
      <c r="C3438" s="2" t="s">
        <v>4151</v>
      </c>
      <c r="D3438" s="1">
        <v>171</v>
      </c>
    </row>
    <row r="3439" spans="1:4" x14ac:dyDescent="0.25">
      <c r="A3439">
        <v>3890</v>
      </c>
      <c r="B3439" s="3" t="s">
        <v>4146</v>
      </c>
      <c r="C3439" s="2" t="s">
        <v>4047</v>
      </c>
      <c r="D3439" s="1">
        <v>171</v>
      </c>
    </row>
    <row r="3440" spans="1:4" x14ac:dyDescent="0.25">
      <c r="A3440" s="10">
        <v>3891</v>
      </c>
      <c r="B3440" s="3" t="s">
        <v>4146</v>
      </c>
      <c r="C3440" s="2" t="s">
        <v>4046</v>
      </c>
      <c r="D3440" s="1">
        <v>171</v>
      </c>
    </row>
    <row r="3441" spans="1:4" x14ac:dyDescent="0.25">
      <c r="A3441">
        <v>3892</v>
      </c>
      <c r="B3441" s="3" t="s">
        <v>4146</v>
      </c>
      <c r="C3441" s="2" t="s">
        <v>4045</v>
      </c>
      <c r="D3441" s="1">
        <v>171</v>
      </c>
    </row>
    <row r="3442" spans="1:4" x14ac:dyDescent="0.25">
      <c r="A3442" s="10">
        <v>3893</v>
      </c>
      <c r="B3442" s="3" t="s">
        <v>4146</v>
      </c>
      <c r="C3442" s="2" t="s">
        <v>4044</v>
      </c>
      <c r="D3442" s="1">
        <v>171</v>
      </c>
    </row>
    <row r="3443" spans="1:4" x14ac:dyDescent="0.25">
      <c r="A3443">
        <v>3894</v>
      </c>
      <c r="B3443" s="3" t="s">
        <v>4146</v>
      </c>
      <c r="C3443" s="2" t="s">
        <v>4043</v>
      </c>
      <c r="D3443" s="1">
        <v>171</v>
      </c>
    </row>
    <row r="3444" spans="1:4" x14ac:dyDescent="0.25">
      <c r="A3444" s="10">
        <v>3895</v>
      </c>
      <c r="B3444" s="3" t="s">
        <v>4146</v>
      </c>
      <c r="C3444" s="2" t="s">
        <v>4042</v>
      </c>
      <c r="D3444" s="1">
        <v>171</v>
      </c>
    </row>
    <row r="3445" spans="1:4" x14ac:dyDescent="0.25">
      <c r="A3445">
        <v>3896</v>
      </c>
      <c r="B3445" s="3" t="s">
        <v>4146</v>
      </c>
      <c r="C3445" s="2" t="s">
        <v>4041</v>
      </c>
      <c r="D3445" s="1">
        <v>171</v>
      </c>
    </row>
    <row r="3446" spans="1:4" x14ac:dyDescent="0.25">
      <c r="A3446" s="10">
        <v>3897</v>
      </c>
      <c r="B3446" s="3" t="s">
        <v>4146</v>
      </c>
      <c r="C3446" s="2" t="s">
        <v>4040</v>
      </c>
      <c r="D3446" s="1">
        <v>171</v>
      </c>
    </row>
    <row r="3447" spans="1:4" x14ac:dyDescent="0.25">
      <c r="A3447">
        <v>3898</v>
      </c>
      <c r="B3447" s="3" t="s">
        <v>4146</v>
      </c>
      <c r="C3447" s="2" t="s">
        <v>4152</v>
      </c>
      <c r="D3447" s="1">
        <v>171</v>
      </c>
    </row>
    <row r="3448" spans="1:4" x14ac:dyDescent="0.25">
      <c r="A3448" s="10">
        <v>3899</v>
      </c>
      <c r="B3448" s="3" t="s">
        <v>4146</v>
      </c>
      <c r="C3448" s="2" t="s">
        <v>4039</v>
      </c>
      <c r="D3448" s="1">
        <v>171</v>
      </c>
    </row>
    <row r="3449" spans="1:4" x14ac:dyDescent="0.25">
      <c r="A3449">
        <v>3900</v>
      </c>
      <c r="B3449" s="3" t="s">
        <v>4146</v>
      </c>
      <c r="C3449" s="2" t="s">
        <v>4145</v>
      </c>
      <c r="D3449" s="1">
        <v>171</v>
      </c>
    </row>
    <row r="3450" spans="1:4" x14ac:dyDescent="0.25">
      <c r="A3450" s="10">
        <v>3901</v>
      </c>
      <c r="B3450" s="3" t="s">
        <v>4146</v>
      </c>
      <c r="C3450" s="2" t="s">
        <v>4038</v>
      </c>
      <c r="D3450" s="1">
        <v>171</v>
      </c>
    </row>
    <row r="3451" spans="1:4" x14ac:dyDescent="0.25">
      <c r="A3451">
        <v>3902</v>
      </c>
      <c r="B3451" s="3" t="s">
        <v>4146</v>
      </c>
      <c r="C3451" s="2" t="s">
        <v>4037</v>
      </c>
      <c r="D3451" s="1">
        <v>171</v>
      </c>
    </row>
    <row r="3452" spans="1:4" x14ac:dyDescent="0.25">
      <c r="A3452" s="10">
        <v>3903</v>
      </c>
      <c r="B3452" s="3" t="s">
        <v>4146</v>
      </c>
      <c r="C3452" s="2" t="s">
        <v>4036</v>
      </c>
      <c r="D3452" s="1">
        <v>171</v>
      </c>
    </row>
    <row r="3453" spans="1:4" x14ac:dyDescent="0.25">
      <c r="A3453">
        <v>3904</v>
      </c>
      <c r="B3453" s="3" t="s">
        <v>4146</v>
      </c>
      <c r="C3453" s="2" t="s">
        <v>4035</v>
      </c>
      <c r="D3453" s="1">
        <v>171</v>
      </c>
    </row>
    <row r="3454" spans="1:4" x14ac:dyDescent="0.25">
      <c r="A3454" s="10">
        <v>3905</v>
      </c>
      <c r="B3454" s="3" t="s">
        <v>4146</v>
      </c>
      <c r="C3454" s="2" t="s">
        <v>4034</v>
      </c>
      <c r="D3454" s="1">
        <v>171</v>
      </c>
    </row>
    <row r="3455" spans="1:4" x14ac:dyDescent="0.25">
      <c r="A3455">
        <v>3906</v>
      </c>
      <c r="B3455" s="3" t="s">
        <v>4146</v>
      </c>
      <c r="C3455" s="2" t="s">
        <v>4033</v>
      </c>
      <c r="D3455" s="1">
        <v>171</v>
      </c>
    </row>
    <row r="3456" spans="1:4" x14ac:dyDescent="0.25">
      <c r="A3456" s="10">
        <v>3907</v>
      </c>
      <c r="B3456" s="3" t="s">
        <v>4146</v>
      </c>
      <c r="C3456" s="2" t="s">
        <v>4153</v>
      </c>
      <c r="D3456" s="1">
        <v>171</v>
      </c>
    </row>
    <row r="3457" spans="1:8" x14ac:dyDescent="0.25">
      <c r="B3457" s="3"/>
      <c r="C3457" s="2"/>
    </row>
    <row r="3458" spans="1:8" x14ac:dyDescent="0.25">
      <c r="A3458" s="10">
        <v>3908</v>
      </c>
      <c r="B3458" s="3" t="s">
        <v>3734</v>
      </c>
      <c r="C3458" s="1" t="s">
        <v>4154</v>
      </c>
      <c r="D3458" s="1">
        <v>149</v>
      </c>
    </row>
    <row r="3459" spans="1:8" x14ac:dyDescent="0.25">
      <c r="B3459" s="3"/>
    </row>
    <row r="3460" spans="1:8" x14ac:dyDescent="0.25">
      <c r="A3460" s="10">
        <v>3909</v>
      </c>
      <c r="B3460" s="3" t="s">
        <v>2523</v>
      </c>
      <c r="C3460" s="1" t="s">
        <v>4155</v>
      </c>
      <c r="D3460" s="1">
        <v>113</v>
      </c>
      <c r="E3460">
        <v>500</v>
      </c>
      <c r="F3460">
        <v>550</v>
      </c>
      <c r="G3460">
        <v>600</v>
      </c>
      <c r="H3460">
        <v>625</v>
      </c>
    </row>
    <row r="3461" spans="1:8" x14ac:dyDescent="0.25">
      <c r="A3461" s="22"/>
    </row>
    <row r="3462" spans="1:8" x14ac:dyDescent="0.25">
      <c r="A3462">
        <v>3910</v>
      </c>
      <c r="B3462" t="s">
        <v>4162</v>
      </c>
      <c r="C3462" s="2" t="s">
        <v>2797</v>
      </c>
      <c r="D3462" t="s">
        <v>4163</v>
      </c>
      <c r="E3462">
        <f>SUM(H3462-30)</f>
        <v>55</v>
      </c>
      <c r="F3462">
        <f>SUM(E3462+10)</f>
        <v>65</v>
      </c>
      <c r="G3462">
        <v>70</v>
      </c>
      <c r="H3462">
        <f>SUM(G3462+15)</f>
        <v>85</v>
      </c>
    </row>
    <row r="3463" spans="1:8" x14ac:dyDescent="0.25">
      <c r="A3463" s="10">
        <v>3911</v>
      </c>
      <c r="B3463" t="s">
        <v>4162</v>
      </c>
      <c r="C3463" s="2" t="s">
        <v>2798</v>
      </c>
      <c r="D3463">
        <v>172</v>
      </c>
      <c r="E3463">
        <f t="shared" ref="E3463:E3475" si="78">SUM(H3463-30)</f>
        <v>135</v>
      </c>
      <c r="F3463">
        <f t="shared" ref="F3463:F3475" si="79">SUM(E3463+10)</f>
        <v>145</v>
      </c>
      <c r="G3463">
        <v>150</v>
      </c>
      <c r="H3463">
        <f t="shared" ref="H3463:H3475" si="80">SUM(G3463+15)</f>
        <v>165</v>
      </c>
    </row>
    <row r="3464" spans="1:8" x14ac:dyDescent="0.25">
      <c r="A3464">
        <v>3912</v>
      </c>
      <c r="B3464" t="s">
        <v>4162</v>
      </c>
      <c r="C3464" s="2" t="s">
        <v>2799</v>
      </c>
      <c r="D3464">
        <v>172</v>
      </c>
      <c r="E3464">
        <f t="shared" si="78"/>
        <v>215</v>
      </c>
      <c r="F3464">
        <f t="shared" si="79"/>
        <v>225</v>
      </c>
      <c r="G3464">
        <v>230</v>
      </c>
      <c r="H3464">
        <f t="shared" si="80"/>
        <v>245</v>
      </c>
    </row>
    <row r="3465" spans="1:8" x14ac:dyDescent="0.25">
      <c r="A3465" s="10">
        <v>3913</v>
      </c>
      <c r="B3465" t="s">
        <v>4162</v>
      </c>
      <c r="C3465" s="2" t="s">
        <v>2800</v>
      </c>
      <c r="D3465">
        <v>172</v>
      </c>
      <c r="E3465">
        <f t="shared" si="78"/>
        <v>865</v>
      </c>
      <c r="F3465">
        <f t="shared" si="79"/>
        <v>875</v>
      </c>
      <c r="G3465">
        <v>880</v>
      </c>
      <c r="H3465">
        <f t="shared" si="80"/>
        <v>895</v>
      </c>
    </row>
    <row r="3466" spans="1:8" x14ac:dyDescent="0.25">
      <c r="A3466">
        <v>3914</v>
      </c>
      <c r="B3466" t="s">
        <v>4162</v>
      </c>
      <c r="C3466" s="2" t="s">
        <v>2801</v>
      </c>
      <c r="D3466">
        <v>172</v>
      </c>
      <c r="E3466">
        <f t="shared" si="78"/>
        <v>85</v>
      </c>
      <c r="F3466">
        <f t="shared" si="79"/>
        <v>95</v>
      </c>
      <c r="G3466">
        <v>100</v>
      </c>
      <c r="H3466">
        <f t="shared" si="80"/>
        <v>115</v>
      </c>
    </row>
    <row r="3467" spans="1:8" x14ac:dyDescent="0.25">
      <c r="A3467" s="10">
        <v>3915</v>
      </c>
      <c r="B3467" t="s">
        <v>4162</v>
      </c>
      <c r="C3467" s="2" t="s">
        <v>2802</v>
      </c>
      <c r="D3467">
        <v>172</v>
      </c>
      <c r="E3467">
        <f t="shared" si="78"/>
        <v>115</v>
      </c>
      <c r="F3467">
        <f t="shared" si="79"/>
        <v>125</v>
      </c>
      <c r="G3467">
        <v>130</v>
      </c>
      <c r="H3467">
        <f t="shared" si="80"/>
        <v>145</v>
      </c>
    </row>
    <row r="3468" spans="1:8" x14ac:dyDescent="0.25">
      <c r="A3468">
        <v>3916</v>
      </c>
      <c r="B3468" t="s">
        <v>4162</v>
      </c>
      <c r="C3468" s="2" t="s">
        <v>2803</v>
      </c>
      <c r="D3468">
        <v>172</v>
      </c>
      <c r="E3468">
        <f t="shared" si="78"/>
        <v>55</v>
      </c>
      <c r="F3468">
        <f t="shared" si="79"/>
        <v>65</v>
      </c>
      <c r="G3468">
        <v>70</v>
      </c>
      <c r="H3468">
        <f t="shared" si="80"/>
        <v>85</v>
      </c>
    </row>
    <row r="3469" spans="1:8" x14ac:dyDescent="0.25">
      <c r="A3469" s="10">
        <v>3917</v>
      </c>
      <c r="B3469" t="s">
        <v>4162</v>
      </c>
      <c r="C3469" s="2" t="s">
        <v>2804</v>
      </c>
      <c r="D3469">
        <v>172</v>
      </c>
      <c r="E3469">
        <f t="shared" si="78"/>
        <v>325</v>
      </c>
      <c r="F3469">
        <f t="shared" si="79"/>
        <v>335</v>
      </c>
      <c r="G3469">
        <v>340</v>
      </c>
      <c r="H3469">
        <f t="shared" si="80"/>
        <v>355</v>
      </c>
    </row>
    <row r="3470" spans="1:8" x14ac:dyDescent="0.25">
      <c r="A3470">
        <v>3918</v>
      </c>
      <c r="B3470" t="s">
        <v>4162</v>
      </c>
      <c r="C3470" s="2" t="s">
        <v>2805</v>
      </c>
      <c r="D3470">
        <v>172</v>
      </c>
      <c r="E3470">
        <f t="shared" si="78"/>
        <v>465</v>
      </c>
      <c r="F3470">
        <f t="shared" si="79"/>
        <v>475</v>
      </c>
      <c r="G3470">
        <v>480</v>
      </c>
      <c r="H3470">
        <f t="shared" si="80"/>
        <v>495</v>
      </c>
    </row>
    <row r="3471" spans="1:8" x14ac:dyDescent="0.25">
      <c r="A3471" s="10">
        <v>3919</v>
      </c>
      <c r="B3471" t="s">
        <v>4162</v>
      </c>
      <c r="C3471" s="2" t="s">
        <v>2806</v>
      </c>
      <c r="D3471">
        <v>172</v>
      </c>
      <c r="E3471">
        <f t="shared" si="78"/>
        <v>235</v>
      </c>
      <c r="F3471">
        <f t="shared" si="79"/>
        <v>245</v>
      </c>
      <c r="G3471">
        <v>250</v>
      </c>
      <c r="H3471">
        <f t="shared" si="80"/>
        <v>265</v>
      </c>
    </row>
    <row r="3472" spans="1:8" x14ac:dyDescent="0.25">
      <c r="A3472">
        <v>3920</v>
      </c>
      <c r="B3472" t="s">
        <v>4162</v>
      </c>
      <c r="C3472" s="2" t="s">
        <v>2807</v>
      </c>
      <c r="D3472">
        <v>172</v>
      </c>
      <c r="E3472">
        <f t="shared" si="78"/>
        <v>105</v>
      </c>
      <c r="F3472">
        <f t="shared" si="79"/>
        <v>115</v>
      </c>
      <c r="G3472">
        <v>120</v>
      </c>
      <c r="H3472">
        <f t="shared" si="80"/>
        <v>135</v>
      </c>
    </row>
    <row r="3473" spans="1:8" x14ac:dyDescent="0.25">
      <c r="A3473" s="10">
        <v>3921</v>
      </c>
      <c r="B3473" t="s">
        <v>4162</v>
      </c>
      <c r="C3473" s="2" t="s">
        <v>2808</v>
      </c>
      <c r="D3473">
        <v>172</v>
      </c>
      <c r="E3473">
        <f t="shared" si="78"/>
        <v>165</v>
      </c>
      <c r="F3473">
        <f t="shared" si="79"/>
        <v>175</v>
      </c>
      <c r="G3473">
        <v>180</v>
      </c>
      <c r="H3473">
        <f t="shared" si="80"/>
        <v>195</v>
      </c>
    </row>
    <row r="3474" spans="1:8" x14ac:dyDescent="0.25">
      <c r="A3474">
        <v>3922</v>
      </c>
      <c r="B3474" t="s">
        <v>4162</v>
      </c>
      <c r="C3474" s="2" t="s">
        <v>2809</v>
      </c>
      <c r="D3474">
        <v>172</v>
      </c>
      <c r="E3474">
        <f t="shared" si="78"/>
        <v>425</v>
      </c>
      <c r="F3474">
        <f t="shared" si="79"/>
        <v>435</v>
      </c>
      <c r="G3474">
        <v>440</v>
      </c>
      <c r="H3474">
        <f t="shared" si="80"/>
        <v>455</v>
      </c>
    </row>
    <row r="3475" spans="1:8" x14ac:dyDescent="0.25">
      <c r="A3475" s="10">
        <v>3923</v>
      </c>
      <c r="B3475" t="s">
        <v>4162</v>
      </c>
      <c r="C3475" s="2" t="s">
        <v>2810</v>
      </c>
      <c r="D3475">
        <v>172</v>
      </c>
      <c r="E3475">
        <f t="shared" si="78"/>
        <v>365</v>
      </c>
      <c r="F3475">
        <f t="shared" si="79"/>
        <v>375</v>
      </c>
      <c r="G3475">
        <v>380</v>
      </c>
      <c r="H3475">
        <f t="shared" si="80"/>
        <v>395</v>
      </c>
    </row>
    <row r="3476" spans="1:8" x14ac:dyDescent="0.25">
      <c r="A3476">
        <v>3924</v>
      </c>
      <c r="B3476" t="s">
        <v>4162</v>
      </c>
      <c r="C3476" s="2" t="s">
        <v>2811</v>
      </c>
      <c r="D3476">
        <v>172</v>
      </c>
    </row>
    <row r="3477" spans="1:8" x14ac:dyDescent="0.25">
      <c r="A3477"/>
      <c r="C3477" s="2"/>
      <c r="D3477"/>
      <c r="G3477" t="s">
        <v>2812</v>
      </c>
    </row>
    <row r="3478" spans="1:8" x14ac:dyDescent="0.25">
      <c r="A3478">
        <v>3925</v>
      </c>
      <c r="B3478" t="s">
        <v>2834</v>
      </c>
      <c r="C3478" s="2" t="s">
        <v>2813</v>
      </c>
      <c r="D3478" t="s">
        <v>4164</v>
      </c>
      <c r="E3478">
        <v>5664</v>
      </c>
      <c r="F3478">
        <v>5700</v>
      </c>
      <c r="G3478">
        <v>5700</v>
      </c>
      <c r="H3478">
        <v>7250</v>
      </c>
    </row>
    <row r="3479" spans="1:8" x14ac:dyDescent="0.25">
      <c r="A3479">
        <v>3926</v>
      </c>
      <c r="B3479" t="s">
        <v>2834</v>
      </c>
      <c r="C3479" s="2" t="s">
        <v>2814</v>
      </c>
      <c r="D3479">
        <v>173</v>
      </c>
      <c r="E3479">
        <v>5328</v>
      </c>
      <c r="F3479">
        <v>5500</v>
      </c>
      <c r="G3479">
        <v>5650</v>
      </c>
    </row>
    <row r="3480" spans="1:8" x14ac:dyDescent="0.25">
      <c r="A3480">
        <v>3927</v>
      </c>
      <c r="B3480" t="s">
        <v>2834</v>
      </c>
      <c r="C3480" s="2" t="s">
        <v>2815</v>
      </c>
      <c r="D3480">
        <v>173</v>
      </c>
      <c r="E3480">
        <v>12950</v>
      </c>
      <c r="F3480">
        <v>13500</v>
      </c>
      <c r="G3480">
        <v>13950</v>
      </c>
    </row>
    <row r="3481" spans="1:8" x14ac:dyDescent="0.25">
      <c r="A3481">
        <v>3928</v>
      </c>
      <c r="B3481" t="s">
        <v>2834</v>
      </c>
      <c r="C3481" s="2" t="s">
        <v>2816</v>
      </c>
      <c r="D3481">
        <v>173</v>
      </c>
      <c r="E3481">
        <v>18500</v>
      </c>
      <c r="F3481">
        <v>19000</v>
      </c>
      <c r="G3481">
        <v>21500</v>
      </c>
    </row>
    <row r="3482" spans="1:8" x14ac:dyDescent="0.25">
      <c r="A3482">
        <v>3929</v>
      </c>
      <c r="B3482" t="s">
        <v>2834</v>
      </c>
      <c r="C3482" s="2" t="s">
        <v>2824</v>
      </c>
      <c r="D3482">
        <v>173</v>
      </c>
      <c r="E3482">
        <v>6155</v>
      </c>
      <c r="F3482">
        <v>6500</v>
      </c>
      <c r="G3482">
        <v>6800</v>
      </c>
      <c r="H3482">
        <v>9160</v>
      </c>
    </row>
    <row r="3483" spans="1:8" x14ac:dyDescent="0.25">
      <c r="A3483">
        <v>3930</v>
      </c>
      <c r="B3483" t="s">
        <v>2834</v>
      </c>
      <c r="C3483" s="2" t="s">
        <v>2817</v>
      </c>
      <c r="D3483">
        <v>173</v>
      </c>
    </row>
    <row r="3484" spans="1:8" x14ac:dyDescent="0.25">
      <c r="A3484"/>
      <c r="C3484" s="2"/>
      <c r="D3484"/>
    </row>
    <row r="3485" spans="1:8" x14ac:dyDescent="0.25">
      <c r="A3485">
        <v>3931</v>
      </c>
      <c r="B3485" t="s">
        <v>2836</v>
      </c>
      <c r="C3485" s="2" t="s">
        <v>2826</v>
      </c>
      <c r="D3485" t="s">
        <v>4165</v>
      </c>
      <c r="E3485">
        <v>5050</v>
      </c>
      <c r="F3485">
        <f>SUM(E3485+50)</f>
        <v>5100</v>
      </c>
      <c r="G3485">
        <v>5400</v>
      </c>
    </row>
    <row r="3486" spans="1:8" x14ac:dyDescent="0.25">
      <c r="A3486">
        <v>3932</v>
      </c>
      <c r="B3486" t="s">
        <v>2836</v>
      </c>
      <c r="C3486" s="2" t="s">
        <v>2829</v>
      </c>
      <c r="D3486">
        <v>174</v>
      </c>
      <c r="E3486">
        <v>12516</v>
      </c>
      <c r="F3486">
        <f t="shared" ref="F3486:F3492" si="81">SUM(E3486+50)</f>
        <v>12566</v>
      </c>
      <c r="G3486">
        <v>13500</v>
      </c>
    </row>
    <row r="3487" spans="1:8" x14ac:dyDescent="0.25">
      <c r="A3487">
        <v>3933</v>
      </c>
      <c r="B3487" t="s">
        <v>2836</v>
      </c>
      <c r="C3487" s="2" t="s">
        <v>2830</v>
      </c>
      <c r="D3487">
        <v>174</v>
      </c>
      <c r="E3487">
        <v>18590</v>
      </c>
      <c r="F3487">
        <f t="shared" si="81"/>
        <v>18640</v>
      </c>
      <c r="G3487">
        <v>19500</v>
      </c>
      <c r="H3487">
        <v>28600</v>
      </c>
    </row>
    <row r="3488" spans="1:8" x14ac:dyDescent="0.25">
      <c r="A3488">
        <v>3934</v>
      </c>
      <c r="B3488" t="s">
        <v>2836</v>
      </c>
      <c r="C3488" s="2" t="s">
        <v>2831</v>
      </c>
      <c r="D3488">
        <v>174</v>
      </c>
      <c r="E3488">
        <v>45162</v>
      </c>
      <c r="F3488">
        <f t="shared" si="81"/>
        <v>45212</v>
      </c>
    </row>
    <row r="3489" spans="1:8" x14ac:dyDescent="0.25">
      <c r="A3489">
        <v>3935</v>
      </c>
      <c r="B3489" t="s">
        <v>2836</v>
      </c>
      <c r="C3489" s="2" t="s">
        <v>2828</v>
      </c>
      <c r="D3489">
        <v>174</v>
      </c>
      <c r="E3489">
        <v>9412</v>
      </c>
      <c r="F3489">
        <f t="shared" si="81"/>
        <v>9462</v>
      </c>
      <c r="G3489">
        <v>9900</v>
      </c>
      <c r="H3489">
        <v>14480</v>
      </c>
    </row>
    <row r="3490" spans="1:8" x14ac:dyDescent="0.25">
      <c r="A3490">
        <v>3936</v>
      </c>
      <c r="B3490" t="s">
        <v>2836</v>
      </c>
      <c r="C3490" s="2" t="s">
        <v>2832</v>
      </c>
      <c r="D3490">
        <v>174</v>
      </c>
      <c r="E3490">
        <v>29218</v>
      </c>
      <c r="F3490">
        <f t="shared" si="81"/>
        <v>29268</v>
      </c>
      <c r="G3490">
        <v>31500</v>
      </c>
      <c r="H3490">
        <v>44950</v>
      </c>
    </row>
    <row r="3491" spans="1:8" x14ac:dyDescent="0.25">
      <c r="A3491">
        <v>3937</v>
      </c>
      <c r="B3491" t="s">
        <v>2836</v>
      </c>
      <c r="C3491" s="2" t="s">
        <v>2833</v>
      </c>
      <c r="D3491">
        <v>174</v>
      </c>
      <c r="E3491">
        <v>14463</v>
      </c>
      <c r="F3491">
        <f t="shared" si="81"/>
        <v>14513</v>
      </c>
      <c r="G3491">
        <v>15500</v>
      </c>
      <c r="H3491">
        <v>22250</v>
      </c>
    </row>
    <row r="3492" spans="1:8" x14ac:dyDescent="0.25">
      <c r="A3492">
        <v>3938</v>
      </c>
      <c r="B3492" t="s">
        <v>2836</v>
      </c>
      <c r="C3492" s="2" t="s">
        <v>2827</v>
      </c>
      <c r="D3492">
        <v>174</v>
      </c>
      <c r="E3492">
        <v>6000</v>
      </c>
      <c r="F3492">
        <f t="shared" si="81"/>
        <v>6050</v>
      </c>
      <c r="G3492">
        <v>6700</v>
      </c>
      <c r="H3492">
        <v>9160</v>
      </c>
    </row>
    <row r="3493" spans="1:8" x14ac:dyDescent="0.25">
      <c r="A3493">
        <v>3939</v>
      </c>
      <c r="B3493" t="s">
        <v>2838</v>
      </c>
      <c r="C3493" s="2" t="s">
        <v>2837</v>
      </c>
      <c r="D3493">
        <v>174</v>
      </c>
      <c r="E3493">
        <v>4800</v>
      </c>
      <c r="F3493">
        <v>4900</v>
      </c>
      <c r="G3493">
        <v>5000</v>
      </c>
      <c r="H3493">
        <v>6900</v>
      </c>
    </row>
    <row r="3494" spans="1:8" x14ac:dyDescent="0.25">
      <c r="A3494">
        <v>3940</v>
      </c>
      <c r="B3494" t="s">
        <v>2838</v>
      </c>
      <c r="C3494" s="2" t="s">
        <v>2840</v>
      </c>
      <c r="D3494">
        <v>174</v>
      </c>
      <c r="E3494">
        <v>4800</v>
      </c>
      <c r="F3494">
        <v>5000</v>
      </c>
      <c r="G3494">
        <v>5500</v>
      </c>
      <c r="H3494">
        <v>6500</v>
      </c>
    </row>
    <row r="3495" spans="1:8" x14ac:dyDescent="0.25">
      <c r="A3495"/>
      <c r="C3495" s="2"/>
      <c r="D3495"/>
    </row>
    <row r="3496" spans="1:8" x14ac:dyDescent="0.25">
      <c r="A3496">
        <v>3941</v>
      </c>
      <c r="B3496" t="s">
        <v>2835</v>
      </c>
      <c r="C3496" s="2" t="s">
        <v>2819</v>
      </c>
      <c r="D3496" t="s">
        <v>4166</v>
      </c>
      <c r="E3496">
        <v>5550</v>
      </c>
      <c r="G3496">
        <v>5600</v>
      </c>
    </row>
    <row r="3497" spans="1:8" x14ac:dyDescent="0.25">
      <c r="A3497">
        <v>3942</v>
      </c>
      <c r="B3497" t="s">
        <v>2835</v>
      </c>
      <c r="C3497" s="2" t="s">
        <v>2820</v>
      </c>
      <c r="D3497">
        <v>175</v>
      </c>
      <c r="E3497">
        <v>11870</v>
      </c>
      <c r="G3497">
        <v>12950</v>
      </c>
    </row>
    <row r="3498" spans="1:8" x14ac:dyDescent="0.25">
      <c r="A3498">
        <v>3943</v>
      </c>
      <c r="B3498" t="s">
        <v>2835</v>
      </c>
      <c r="C3498" s="2" t="s">
        <v>2839</v>
      </c>
      <c r="D3498">
        <v>175</v>
      </c>
      <c r="E3498">
        <v>18134</v>
      </c>
      <c r="G3498">
        <v>19500</v>
      </c>
    </row>
    <row r="3499" spans="1:8" x14ac:dyDescent="0.25">
      <c r="A3499">
        <v>3944</v>
      </c>
      <c r="B3499" t="s">
        <v>2835</v>
      </c>
      <c r="C3499" s="2" t="s">
        <v>2821</v>
      </c>
      <c r="D3499">
        <v>175</v>
      </c>
    </row>
    <row r="3500" spans="1:8" x14ac:dyDescent="0.25">
      <c r="A3500">
        <v>3945</v>
      </c>
      <c r="B3500" t="s">
        <v>2835</v>
      </c>
      <c r="C3500" s="2" t="s">
        <v>2822</v>
      </c>
      <c r="D3500">
        <v>175</v>
      </c>
      <c r="E3500">
        <v>9180</v>
      </c>
      <c r="G3500">
        <v>9700</v>
      </c>
    </row>
    <row r="3501" spans="1:8" x14ac:dyDescent="0.25">
      <c r="A3501">
        <v>3946</v>
      </c>
      <c r="B3501" t="s">
        <v>2835</v>
      </c>
      <c r="C3501" s="2" t="s">
        <v>2823</v>
      </c>
      <c r="D3501">
        <v>175</v>
      </c>
    </row>
    <row r="3502" spans="1:8" x14ac:dyDescent="0.25">
      <c r="A3502">
        <v>3947</v>
      </c>
      <c r="B3502" t="s">
        <v>2835</v>
      </c>
      <c r="C3502" s="2" t="s">
        <v>2818</v>
      </c>
      <c r="D3502">
        <v>175</v>
      </c>
    </row>
    <row r="3503" spans="1:8" x14ac:dyDescent="0.25">
      <c r="A3503">
        <v>3948</v>
      </c>
      <c r="B3503" t="s">
        <v>2835</v>
      </c>
      <c r="C3503" s="2" t="s">
        <v>2825</v>
      </c>
      <c r="D3503">
        <v>175</v>
      </c>
      <c r="E3503">
        <v>5950</v>
      </c>
      <c r="G3503">
        <v>6500</v>
      </c>
    </row>
    <row r="3504" spans="1:8" x14ac:dyDescent="0.25">
      <c r="A3504">
        <v>3949</v>
      </c>
      <c r="B3504" t="s">
        <v>2835</v>
      </c>
      <c r="C3504" s="2" t="s">
        <v>4156</v>
      </c>
      <c r="D3504">
        <v>175</v>
      </c>
    </row>
    <row r="3505" spans="1:8" x14ac:dyDescent="0.25">
      <c r="A3505">
        <v>3950</v>
      </c>
      <c r="B3505" t="s">
        <v>2835</v>
      </c>
      <c r="C3505" s="2" t="s">
        <v>4157</v>
      </c>
      <c r="D3505">
        <v>175</v>
      </c>
    </row>
    <row r="3506" spans="1:8" x14ac:dyDescent="0.25">
      <c r="A3506">
        <v>3951</v>
      </c>
      <c r="B3506" t="s">
        <v>2835</v>
      </c>
      <c r="C3506" s="2" t="s">
        <v>4158</v>
      </c>
      <c r="D3506">
        <v>175</v>
      </c>
    </row>
    <row r="3507" spans="1:8" x14ac:dyDescent="0.25">
      <c r="A3507">
        <v>3952</v>
      </c>
      <c r="B3507" t="s">
        <v>2835</v>
      </c>
      <c r="C3507" s="2" t="s">
        <v>4159</v>
      </c>
      <c r="D3507">
        <v>175</v>
      </c>
    </row>
    <row r="3508" spans="1:8" x14ac:dyDescent="0.25">
      <c r="A3508">
        <v>3953</v>
      </c>
      <c r="B3508" t="s">
        <v>2835</v>
      </c>
      <c r="C3508" s="2" t="s">
        <v>4160</v>
      </c>
      <c r="D3508">
        <v>175</v>
      </c>
    </row>
    <row r="3509" spans="1:8" x14ac:dyDescent="0.25">
      <c r="A3509">
        <v>3954</v>
      </c>
      <c r="B3509" t="s">
        <v>2835</v>
      </c>
      <c r="C3509" s="2" t="s">
        <v>4161</v>
      </c>
      <c r="D3509">
        <v>175</v>
      </c>
    </row>
    <row r="3510" spans="1:8" x14ac:dyDescent="0.25">
      <c r="A3510" s="21"/>
    </row>
    <row r="3511" spans="1:8" x14ac:dyDescent="0.25">
      <c r="A3511">
        <v>3955</v>
      </c>
      <c r="B3511" t="s">
        <v>4167</v>
      </c>
      <c r="C3511" s="2" t="s">
        <v>3892</v>
      </c>
      <c r="D3511" s="1" t="s">
        <v>4168</v>
      </c>
      <c r="E3511">
        <v>825</v>
      </c>
    </row>
    <row r="3512" spans="1:8" x14ac:dyDescent="0.25">
      <c r="A3512">
        <v>3956</v>
      </c>
      <c r="B3512" t="s">
        <v>4167</v>
      </c>
      <c r="C3512" s="2" t="s">
        <v>3893</v>
      </c>
      <c r="D3512" s="1">
        <v>162</v>
      </c>
      <c r="E3512">
        <v>925</v>
      </c>
    </row>
    <row r="3513" spans="1:8" x14ac:dyDescent="0.25">
      <c r="A3513">
        <v>3957</v>
      </c>
      <c r="B3513" t="s">
        <v>4167</v>
      </c>
      <c r="C3513" s="2" t="s">
        <v>3894</v>
      </c>
      <c r="D3513" s="1">
        <v>162</v>
      </c>
      <c r="E3513">
        <v>1100</v>
      </c>
    </row>
    <row r="3514" spans="1:8" x14ac:dyDescent="0.25">
      <c r="A3514">
        <v>3958</v>
      </c>
      <c r="B3514" t="s">
        <v>4167</v>
      </c>
      <c r="C3514" s="2" t="s">
        <v>3895</v>
      </c>
      <c r="D3514" s="1">
        <v>162</v>
      </c>
      <c r="E3514">
        <v>1200</v>
      </c>
    </row>
    <row r="3515" spans="1:8" x14ac:dyDescent="0.25">
      <c r="A3515">
        <v>3959</v>
      </c>
      <c r="B3515" t="s">
        <v>4167</v>
      </c>
      <c r="C3515" s="2" t="s">
        <v>3892</v>
      </c>
      <c r="D3515" s="1">
        <v>162</v>
      </c>
      <c r="E3515">
        <v>825</v>
      </c>
      <c r="F3515">
        <v>1000</v>
      </c>
      <c r="G3515">
        <v>1200</v>
      </c>
      <c r="H3515">
        <v>1275</v>
      </c>
    </row>
    <row r="3516" spans="1:8" x14ac:dyDescent="0.25">
      <c r="A3516">
        <v>3960</v>
      </c>
      <c r="B3516" t="s">
        <v>4167</v>
      </c>
      <c r="C3516" s="2" t="s">
        <v>3893</v>
      </c>
      <c r="D3516" s="1">
        <v>162</v>
      </c>
      <c r="E3516">
        <v>925</v>
      </c>
      <c r="F3516">
        <v>1100</v>
      </c>
      <c r="G3516">
        <v>1300</v>
      </c>
      <c r="H3516">
        <v>1375</v>
      </c>
    </row>
    <row r="3517" spans="1:8" x14ac:dyDescent="0.25">
      <c r="A3517">
        <v>3961</v>
      </c>
      <c r="B3517" t="s">
        <v>4167</v>
      </c>
      <c r="C3517" s="2" t="s">
        <v>3907</v>
      </c>
      <c r="D3517" s="1">
        <v>162</v>
      </c>
      <c r="E3517">
        <v>450</v>
      </c>
      <c r="F3517">
        <v>550</v>
      </c>
      <c r="G3517">
        <v>650</v>
      </c>
      <c r="H3517">
        <v>675</v>
      </c>
    </row>
    <row r="3518" spans="1:8" x14ac:dyDescent="0.25">
      <c r="A3518">
        <v>3962</v>
      </c>
      <c r="B3518" t="s">
        <v>4167</v>
      </c>
      <c r="C3518" s="2" t="s">
        <v>3909</v>
      </c>
      <c r="D3518" s="1">
        <v>162</v>
      </c>
      <c r="E3518">
        <v>1350</v>
      </c>
      <c r="F3518">
        <v>1500</v>
      </c>
      <c r="G3518">
        <v>1800</v>
      </c>
      <c r="H3518">
        <v>1975</v>
      </c>
    </row>
    <row r="3519" spans="1:8" x14ac:dyDescent="0.25">
      <c r="A3519">
        <v>3963</v>
      </c>
      <c r="B3519" t="s">
        <v>4167</v>
      </c>
      <c r="C3519" s="2" t="s">
        <v>3910</v>
      </c>
      <c r="D3519" s="1">
        <v>162</v>
      </c>
    </row>
    <row r="3520" spans="1:8" x14ac:dyDescent="0.25">
      <c r="A3520">
        <v>3964</v>
      </c>
      <c r="B3520" t="s">
        <v>4167</v>
      </c>
      <c r="C3520" s="2" t="s">
        <v>3911</v>
      </c>
      <c r="D3520" s="1">
        <v>162</v>
      </c>
    </row>
    <row r="3521" spans="1:8" x14ac:dyDescent="0.25">
      <c r="A3521">
        <v>3965</v>
      </c>
      <c r="B3521" t="s">
        <v>4167</v>
      </c>
      <c r="C3521" s="2" t="s">
        <v>4089</v>
      </c>
      <c r="D3521" s="1">
        <v>162</v>
      </c>
      <c r="H3521">
        <v>5550</v>
      </c>
    </row>
    <row r="3522" spans="1:8" x14ac:dyDescent="0.25">
      <c r="A3522">
        <v>3966</v>
      </c>
      <c r="B3522" t="s">
        <v>4167</v>
      </c>
      <c r="C3522" s="2" t="s">
        <v>3912</v>
      </c>
      <c r="D3522" s="1">
        <v>162</v>
      </c>
    </row>
    <row r="3523" spans="1:8" x14ac:dyDescent="0.25">
      <c r="A3523">
        <v>3967</v>
      </c>
      <c r="B3523" t="s">
        <v>4167</v>
      </c>
      <c r="C3523" s="2" t="s">
        <v>3913</v>
      </c>
      <c r="D3523" s="1">
        <v>162</v>
      </c>
    </row>
    <row r="3524" spans="1:8" x14ac:dyDescent="0.25">
      <c r="A3524" s="22">
        <v>3968</v>
      </c>
      <c r="B3524" t="s">
        <v>4187</v>
      </c>
      <c r="C3524" s="1" t="s">
        <v>4188</v>
      </c>
      <c r="D3524" s="1" t="s">
        <v>4189</v>
      </c>
      <c r="E3524">
        <v>950</v>
      </c>
      <c r="F3524">
        <v>1200</v>
      </c>
      <c r="G3524">
        <v>1350</v>
      </c>
      <c r="H3524">
        <v>1375</v>
      </c>
    </row>
    <row r="3525" spans="1:8" x14ac:dyDescent="0.25">
      <c r="A3525" s="7"/>
    </row>
    <row r="3526" spans="1:8" x14ac:dyDescent="0.25">
      <c r="A3526">
        <v>3969</v>
      </c>
      <c r="B3526" t="s">
        <v>3863</v>
      </c>
      <c r="C3526" s="1" t="s">
        <v>3862</v>
      </c>
      <c r="D3526" s="1" t="s">
        <v>4186</v>
      </c>
      <c r="E3526">
        <v>655</v>
      </c>
      <c r="F3526">
        <f>SUM(E3526+50)</f>
        <v>705</v>
      </c>
      <c r="G3526">
        <v>1000</v>
      </c>
      <c r="H3526">
        <v>1100</v>
      </c>
    </row>
    <row r="3527" spans="1:8" x14ac:dyDescent="0.25">
      <c r="A3527">
        <v>3970</v>
      </c>
      <c r="B3527" t="s">
        <v>3863</v>
      </c>
      <c r="C3527" s="1" t="s">
        <v>3862</v>
      </c>
      <c r="D3527" s="1">
        <v>176</v>
      </c>
      <c r="E3527">
        <v>730</v>
      </c>
      <c r="F3527">
        <f t="shared" ref="F3527:F3565" si="82">SUM(E3527+50)</f>
        <v>780</v>
      </c>
      <c r="G3527">
        <v>950</v>
      </c>
      <c r="H3527">
        <v>975</v>
      </c>
    </row>
    <row r="3528" spans="1:8" x14ac:dyDescent="0.25">
      <c r="A3528">
        <v>3971</v>
      </c>
      <c r="B3528" t="s">
        <v>3863</v>
      </c>
      <c r="C3528" s="1" t="s">
        <v>3862</v>
      </c>
      <c r="D3528" s="1">
        <v>176</v>
      </c>
      <c r="E3528">
        <v>1400</v>
      </c>
      <c r="F3528">
        <f t="shared" si="82"/>
        <v>1450</v>
      </c>
      <c r="G3528">
        <v>1950</v>
      </c>
      <c r="H3528">
        <v>1975</v>
      </c>
    </row>
    <row r="3529" spans="1:8" x14ac:dyDescent="0.25">
      <c r="A3529">
        <v>3972</v>
      </c>
      <c r="B3529" t="s">
        <v>3863</v>
      </c>
      <c r="C3529" s="1" t="s">
        <v>3819</v>
      </c>
      <c r="D3529" s="1">
        <v>176</v>
      </c>
      <c r="E3529">
        <v>435</v>
      </c>
      <c r="F3529">
        <f t="shared" si="82"/>
        <v>485</v>
      </c>
      <c r="G3529">
        <v>750</v>
      </c>
      <c r="H3529">
        <v>775</v>
      </c>
    </row>
    <row r="3530" spans="1:8" x14ac:dyDescent="0.25">
      <c r="A3530">
        <v>3973</v>
      </c>
      <c r="B3530" t="s">
        <v>3864</v>
      </c>
      <c r="C3530" s="1" t="s">
        <v>3820</v>
      </c>
      <c r="D3530" s="1">
        <v>176</v>
      </c>
      <c r="E3530">
        <v>1275</v>
      </c>
      <c r="F3530">
        <f t="shared" si="82"/>
        <v>1325</v>
      </c>
      <c r="G3530">
        <v>1750</v>
      </c>
      <c r="H3530">
        <v>1795</v>
      </c>
    </row>
    <row r="3531" spans="1:8" x14ac:dyDescent="0.25">
      <c r="A3531">
        <v>3974</v>
      </c>
      <c r="B3531" t="s">
        <v>3864</v>
      </c>
      <c r="C3531" s="1" t="s">
        <v>3821</v>
      </c>
      <c r="D3531" s="1">
        <v>176</v>
      </c>
      <c r="E3531">
        <v>875</v>
      </c>
      <c r="F3531">
        <f t="shared" si="82"/>
        <v>925</v>
      </c>
      <c r="G3531">
        <v>1100</v>
      </c>
      <c r="H3531">
        <v>1150</v>
      </c>
    </row>
    <row r="3532" spans="1:8" x14ac:dyDescent="0.25">
      <c r="A3532">
        <v>3975</v>
      </c>
      <c r="B3532" t="s">
        <v>3863</v>
      </c>
      <c r="C3532" s="1" t="s">
        <v>3822</v>
      </c>
      <c r="D3532" s="1">
        <v>176</v>
      </c>
      <c r="E3532">
        <v>80</v>
      </c>
      <c r="F3532">
        <f t="shared" si="82"/>
        <v>130</v>
      </c>
      <c r="G3532">
        <v>150</v>
      </c>
      <c r="H3532">
        <v>165</v>
      </c>
    </row>
    <row r="3533" spans="1:8" x14ac:dyDescent="0.25">
      <c r="A3533">
        <v>3976</v>
      </c>
      <c r="B3533" t="s">
        <v>3865</v>
      </c>
      <c r="C3533" s="1" t="s">
        <v>3823</v>
      </c>
      <c r="D3533" s="1">
        <v>176</v>
      </c>
      <c r="E3533">
        <v>395</v>
      </c>
      <c r="F3533">
        <f t="shared" si="82"/>
        <v>445</v>
      </c>
      <c r="G3533">
        <v>580</v>
      </c>
      <c r="H3533">
        <v>595</v>
      </c>
    </row>
    <row r="3534" spans="1:8" x14ac:dyDescent="0.25">
      <c r="A3534">
        <v>3977</v>
      </c>
      <c r="B3534" t="s">
        <v>3865</v>
      </c>
      <c r="C3534" s="1" t="s">
        <v>3823</v>
      </c>
      <c r="D3534" s="1">
        <v>176</v>
      </c>
      <c r="E3534">
        <v>320</v>
      </c>
      <c r="F3534">
        <f t="shared" si="82"/>
        <v>370</v>
      </c>
      <c r="G3534">
        <v>500</v>
      </c>
      <c r="H3534">
        <v>525</v>
      </c>
    </row>
    <row r="3535" spans="1:8" x14ac:dyDescent="0.25">
      <c r="A3535">
        <v>3978</v>
      </c>
      <c r="B3535" t="s">
        <v>3865</v>
      </c>
      <c r="C3535" s="1" t="s">
        <v>3824</v>
      </c>
      <c r="D3535" s="1">
        <v>176</v>
      </c>
      <c r="E3535">
        <v>320</v>
      </c>
      <c r="F3535">
        <f t="shared" si="82"/>
        <v>370</v>
      </c>
      <c r="G3535">
        <v>500</v>
      </c>
      <c r="H3535">
        <v>525</v>
      </c>
    </row>
    <row r="3536" spans="1:8" x14ac:dyDescent="0.25">
      <c r="A3536">
        <v>3979</v>
      </c>
      <c r="B3536" t="s">
        <v>3865</v>
      </c>
      <c r="C3536" s="1" t="s">
        <v>3825</v>
      </c>
      <c r="D3536" s="1">
        <v>176</v>
      </c>
      <c r="E3536">
        <v>585</v>
      </c>
      <c r="F3536">
        <f t="shared" si="82"/>
        <v>635</v>
      </c>
      <c r="G3536">
        <v>780</v>
      </c>
      <c r="H3536">
        <v>795</v>
      </c>
    </row>
    <row r="3537" spans="1:8" x14ac:dyDescent="0.25">
      <c r="A3537">
        <v>3980</v>
      </c>
      <c r="B3537" t="s">
        <v>3865</v>
      </c>
      <c r="C3537" s="1" t="s">
        <v>3826</v>
      </c>
      <c r="D3537" s="1">
        <v>176</v>
      </c>
      <c r="E3537">
        <v>220</v>
      </c>
      <c r="F3537">
        <f t="shared" si="82"/>
        <v>270</v>
      </c>
      <c r="G3537">
        <v>320</v>
      </c>
      <c r="H3537">
        <v>345</v>
      </c>
    </row>
    <row r="3538" spans="1:8" x14ac:dyDescent="0.25">
      <c r="A3538">
        <v>3981</v>
      </c>
      <c r="B3538" t="s">
        <v>3865</v>
      </c>
      <c r="C3538" s="1" t="s">
        <v>3827</v>
      </c>
      <c r="D3538" s="1">
        <v>176</v>
      </c>
      <c r="E3538">
        <v>175</v>
      </c>
      <c r="F3538">
        <f t="shared" si="82"/>
        <v>225</v>
      </c>
      <c r="G3538">
        <v>350</v>
      </c>
      <c r="H3538">
        <v>375</v>
      </c>
    </row>
    <row r="3539" spans="1:8" x14ac:dyDescent="0.25">
      <c r="A3539">
        <v>3982</v>
      </c>
      <c r="B3539" t="s">
        <v>3865</v>
      </c>
      <c r="C3539" s="1" t="s">
        <v>3828</v>
      </c>
      <c r="D3539" s="1">
        <v>176</v>
      </c>
      <c r="E3539">
        <v>1650</v>
      </c>
      <c r="F3539">
        <f t="shared" si="82"/>
        <v>1700</v>
      </c>
      <c r="G3539">
        <v>2100</v>
      </c>
      <c r="H3539">
        <v>2150</v>
      </c>
    </row>
    <row r="3540" spans="1:8" x14ac:dyDescent="0.25">
      <c r="A3540">
        <v>3983</v>
      </c>
      <c r="B3540" t="s">
        <v>3865</v>
      </c>
      <c r="C3540" s="1" t="s">
        <v>3829</v>
      </c>
      <c r="D3540" s="1">
        <v>176</v>
      </c>
      <c r="E3540">
        <v>1300</v>
      </c>
      <c r="F3540">
        <f t="shared" si="82"/>
        <v>1350</v>
      </c>
      <c r="G3540">
        <v>1650</v>
      </c>
      <c r="H3540">
        <v>1675</v>
      </c>
    </row>
    <row r="3541" spans="1:8" x14ac:dyDescent="0.25">
      <c r="A3541">
        <v>3984</v>
      </c>
      <c r="B3541" t="s">
        <v>3865</v>
      </c>
      <c r="C3541" s="1" t="s">
        <v>3830</v>
      </c>
      <c r="D3541" s="1">
        <v>176</v>
      </c>
      <c r="E3541">
        <v>800</v>
      </c>
      <c r="F3541">
        <f t="shared" si="82"/>
        <v>850</v>
      </c>
      <c r="G3541">
        <v>1350</v>
      </c>
      <c r="H3541">
        <v>1375</v>
      </c>
    </row>
    <row r="3542" spans="1:8" x14ac:dyDescent="0.25">
      <c r="A3542">
        <v>3985</v>
      </c>
      <c r="B3542" t="s">
        <v>3865</v>
      </c>
      <c r="C3542" s="1" t="s">
        <v>3831</v>
      </c>
      <c r="D3542" s="1">
        <v>176</v>
      </c>
      <c r="E3542">
        <v>175</v>
      </c>
      <c r="F3542">
        <f t="shared" si="82"/>
        <v>225</v>
      </c>
      <c r="G3542">
        <v>380</v>
      </c>
      <c r="H3542">
        <v>395</v>
      </c>
    </row>
    <row r="3543" spans="1:8" x14ac:dyDescent="0.25">
      <c r="A3543">
        <v>3986</v>
      </c>
      <c r="B3543" t="s">
        <v>3865</v>
      </c>
      <c r="C3543" s="1" t="s">
        <v>3832</v>
      </c>
      <c r="D3543" s="1">
        <v>176</v>
      </c>
      <c r="E3543">
        <v>225</v>
      </c>
      <c r="F3543">
        <f t="shared" si="82"/>
        <v>275</v>
      </c>
      <c r="G3543">
        <v>300</v>
      </c>
      <c r="H3543">
        <v>325</v>
      </c>
    </row>
    <row r="3544" spans="1:8" x14ac:dyDescent="0.25">
      <c r="A3544">
        <v>3987</v>
      </c>
      <c r="B3544" t="s">
        <v>3865</v>
      </c>
      <c r="C3544" s="1" t="s">
        <v>3833</v>
      </c>
      <c r="D3544" s="1">
        <v>176</v>
      </c>
      <c r="E3544">
        <v>450</v>
      </c>
      <c r="F3544">
        <f t="shared" si="82"/>
        <v>500</v>
      </c>
      <c r="G3544">
        <v>680</v>
      </c>
      <c r="H3544">
        <v>695</v>
      </c>
    </row>
    <row r="3545" spans="1:8" x14ac:dyDescent="0.25">
      <c r="A3545">
        <v>3988</v>
      </c>
      <c r="B3545" t="s">
        <v>3865</v>
      </c>
      <c r="C3545" s="1" t="s">
        <v>3834</v>
      </c>
      <c r="D3545" s="1">
        <v>176</v>
      </c>
      <c r="E3545">
        <v>675</v>
      </c>
      <c r="F3545">
        <f t="shared" si="82"/>
        <v>725</v>
      </c>
      <c r="G3545">
        <v>850</v>
      </c>
      <c r="H3545">
        <v>875</v>
      </c>
    </row>
    <row r="3546" spans="1:8" x14ac:dyDescent="0.25">
      <c r="A3546">
        <v>3989</v>
      </c>
      <c r="B3546" t="s">
        <v>3865</v>
      </c>
      <c r="C3546" s="1" t="s">
        <v>3835</v>
      </c>
      <c r="D3546" s="1">
        <v>176</v>
      </c>
      <c r="E3546">
        <v>690</v>
      </c>
      <c r="F3546">
        <f t="shared" si="82"/>
        <v>740</v>
      </c>
      <c r="G3546">
        <v>650</v>
      </c>
      <c r="H3546">
        <v>675</v>
      </c>
    </row>
    <row r="3547" spans="1:8" x14ac:dyDescent="0.25">
      <c r="A3547">
        <v>3990</v>
      </c>
      <c r="B3547" t="s">
        <v>3865</v>
      </c>
      <c r="C3547" s="1" t="s">
        <v>3836</v>
      </c>
      <c r="D3547" s="1">
        <v>176</v>
      </c>
      <c r="E3547">
        <v>380</v>
      </c>
      <c r="F3547">
        <f t="shared" si="82"/>
        <v>430</v>
      </c>
      <c r="G3547">
        <v>480</v>
      </c>
      <c r="H3547">
        <v>495</v>
      </c>
    </row>
    <row r="3548" spans="1:8" x14ac:dyDescent="0.25">
      <c r="A3548">
        <v>3991</v>
      </c>
      <c r="B3548" t="s">
        <v>3865</v>
      </c>
      <c r="C3548" s="1" t="s">
        <v>3837</v>
      </c>
      <c r="D3548" s="1">
        <v>176</v>
      </c>
      <c r="E3548">
        <v>395</v>
      </c>
      <c r="F3548">
        <f t="shared" si="82"/>
        <v>445</v>
      </c>
      <c r="G3548">
        <v>580</v>
      </c>
      <c r="H3548">
        <v>595</v>
      </c>
    </row>
    <row r="3549" spans="1:8" x14ac:dyDescent="0.25">
      <c r="A3549">
        <v>3992</v>
      </c>
      <c r="B3549" t="s">
        <v>3865</v>
      </c>
      <c r="C3549" s="1" t="s">
        <v>3838</v>
      </c>
      <c r="D3549" s="1">
        <v>176</v>
      </c>
      <c r="E3549">
        <v>320</v>
      </c>
      <c r="F3549">
        <f t="shared" si="82"/>
        <v>370</v>
      </c>
      <c r="G3549">
        <v>600</v>
      </c>
      <c r="H3549">
        <v>625</v>
      </c>
    </row>
    <row r="3550" spans="1:8" x14ac:dyDescent="0.25">
      <c r="A3550">
        <v>3993</v>
      </c>
      <c r="B3550" t="s">
        <v>3865</v>
      </c>
      <c r="C3550" s="1" t="s">
        <v>3839</v>
      </c>
      <c r="D3550" s="1">
        <v>176</v>
      </c>
      <c r="E3550">
        <v>500</v>
      </c>
      <c r="F3550">
        <f t="shared" si="82"/>
        <v>550</v>
      </c>
      <c r="G3550">
        <v>850</v>
      </c>
      <c r="H3550">
        <v>875</v>
      </c>
    </row>
    <row r="3551" spans="1:8" x14ac:dyDescent="0.25">
      <c r="A3551">
        <v>3994</v>
      </c>
      <c r="B3551" t="s">
        <v>3865</v>
      </c>
      <c r="C3551" s="1" t="s">
        <v>3840</v>
      </c>
      <c r="D3551" s="1">
        <v>176</v>
      </c>
      <c r="E3551">
        <v>1450</v>
      </c>
      <c r="F3551">
        <f t="shared" si="82"/>
        <v>1500</v>
      </c>
      <c r="G3551">
        <v>1950</v>
      </c>
      <c r="H3551">
        <v>1995</v>
      </c>
    </row>
    <row r="3552" spans="1:8" x14ac:dyDescent="0.25">
      <c r="A3552">
        <v>3995</v>
      </c>
      <c r="B3552" t="s">
        <v>3865</v>
      </c>
      <c r="C3552" s="1" t="s">
        <v>3841</v>
      </c>
      <c r="D3552" s="1">
        <v>176</v>
      </c>
      <c r="E3552">
        <v>145</v>
      </c>
      <c r="F3552">
        <f t="shared" si="82"/>
        <v>195</v>
      </c>
      <c r="G3552">
        <v>280</v>
      </c>
      <c r="H3552">
        <v>295</v>
      </c>
    </row>
    <row r="3553" spans="1:8" x14ac:dyDescent="0.25">
      <c r="A3553">
        <v>3996</v>
      </c>
      <c r="B3553" t="s">
        <v>3865</v>
      </c>
      <c r="C3553" s="1" t="s">
        <v>3842</v>
      </c>
      <c r="D3553" s="1">
        <v>176</v>
      </c>
      <c r="E3553">
        <v>120</v>
      </c>
      <c r="F3553">
        <f t="shared" si="82"/>
        <v>170</v>
      </c>
      <c r="G3553">
        <v>200</v>
      </c>
      <c r="H3553">
        <v>225</v>
      </c>
    </row>
    <row r="3554" spans="1:8" x14ac:dyDescent="0.25">
      <c r="A3554">
        <v>3997</v>
      </c>
      <c r="B3554" t="s">
        <v>3865</v>
      </c>
      <c r="C3554" s="1" t="s">
        <v>3843</v>
      </c>
      <c r="D3554" s="1">
        <v>176</v>
      </c>
      <c r="E3554">
        <v>220</v>
      </c>
      <c r="F3554">
        <f t="shared" si="82"/>
        <v>270</v>
      </c>
      <c r="G3554">
        <v>350</v>
      </c>
      <c r="H3554">
        <v>375</v>
      </c>
    </row>
    <row r="3555" spans="1:8" x14ac:dyDescent="0.25">
      <c r="A3555">
        <v>3998</v>
      </c>
      <c r="B3555" t="s">
        <v>3865</v>
      </c>
      <c r="C3555" s="1" t="s">
        <v>3844</v>
      </c>
      <c r="D3555" s="1">
        <v>176</v>
      </c>
      <c r="E3555">
        <v>220</v>
      </c>
      <c r="F3555">
        <f t="shared" si="82"/>
        <v>270</v>
      </c>
      <c r="G3555">
        <v>300</v>
      </c>
      <c r="H3555">
        <v>300</v>
      </c>
    </row>
    <row r="3556" spans="1:8" x14ac:dyDescent="0.25">
      <c r="A3556">
        <v>3999</v>
      </c>
      <c r="B3556" t="s">
        <v>3865</v>
      </c>
      <c r="C3556" s="1" t="s">
        <v>3845</v>
      </c>
      <c r="D3556" s="1">
        <v>176</v>
      </c>
      <c r="E3556">
        <v>120</v>
      </c>
      <c r="F3556">
        <f t="shared" si="82"/>
        <v>170</v>
      </c>
      <c r="G3556">
        <v>250</v>
      </c>
      <c r="H3556">
        <v>265</v>
      </c>
    </row>
    <row r="3557" spans="1:8" x14ac:dyDescent="0.25">
      <c r="A3557">
        <v>4000</v>
      </c>
      <c r="B3557" t="s">
        <v>3865</v>
      </c>
      <c r="C3557" s="1" t="s">
        <v>3846</v>
      </c>
      <c r="D3557" s="1">
        <v>176</v>
      </c>
      <c r="E3557">
        <v>760</v>
      </c>
      <c r="F3557">
        <f t="shared" si="82"/>
        <v>810</v>
      </c>
      <c r="G3557">
        <v>950</v>
      </c>
      <c r="H3557">
        <v>975</v>
      </c>
    </row>
    <row r="3558" spans="1:8" x14ac:dyDescent="0.25">
      <c r="A3558">
        <v>4001</v>
      </c>
      <c r="B3558" t="s">
        <v>3865</v>
      </c>
      <c r="C3558" s="1" t="s">
        <v>3847</v>
      </c>
      <c r="D3558" s="1">
        <v>176</v>
      </c>
      <c r="E3558">
        <v>725</v>
      </c>
      <c r="F3558">
        <f t="shared" si="82"/>
        <v>775</v>
      </c>
      <c r="G3558">
        <v>950</v>
      </c>
      <c r="H3558">
        <v>975</v>
      </c>
    </row>
    <row r="3559" spans="1:8" x14ac:dyDescent="0.25">
      <c r="A3559">
        <v>4002</v>
      </c>
      <c r="B3559" t="s">
        <v>3865</v>
      </c>
      <c r="C3559" s="1" t="s">
        <v>3881</v>
      </c>
      <c r="D3559" s="1">
        <v>176</v>
      </c>
      <c r="E3559">
        <v>450</v>
      </c>
      <c r="F3559">
        <f t="shared" si="82"/>
        <v>500</v>
      </c>
      <c r="G3559">
        <v>650</v>
      </c>
      <c r="H3559">
        <v>675</v>
      </c>
    </row>
    <row r="3560" spans="1:8" x14ac:dyDescent="0.25">
      <c r="A3560">
        <v>4003</v>
      </c>
      <c r="B3560" t="s">
        <v>3865</v>
      </c>
      <c r="C3560" s="1" t="s">
        <v>3882</v>
      </c>
      <c r="D3560" s="1">
        <v>176</v>
      </c>
      <c r="E3560">
        <v>395</v>
      </c>
      <c r="F3560">
        <f t="shared" si="82"/>
        <v>445</v>
      </c>
      <c r="G3560">
        <v>580</v>
      </c>
      <c r="H3560">
        <v>595</v>
      </c>
    </row>
    <row r="3561" spans="1:8" x14ac:dyDescent="0.25">
      <c r="A3561">
        <v>4004</v>
      </c>
      <c r="B3561" t="s">
        <v>3865</v>
      </c>
      <c r="C3561" s="1" t="s">
        <v>3883</v>
      </c>
      <c r="D3561" s="1">
        <v>176</v>
      </c>
      <c r="E3561">
        <v>750</v>
      </c>
      <c r="F3561">
        <f t="shared" si="82"/>
        <v>800</v>
      </c>
      <c r="G3561">
        <v>980</v>
      </c>
      <c r="H3561">
        <v>995</v>
      </c>
    </row>
    <row r="3562" spans="1:8" x14ac:dyDescent="0.25">
      <c r="A3562">
        <v>4005</v>
      </c>
      <c r="B3562" t="s">
        <v>3865</v>
      </c>
      <c r="C3562" s="1" t="s">
        <v>3884</v>
      </c>
      <c r="D3562" s="1">
        <v>176</v>
      </c>
      <c r="E3562">
        <v>675</v>
      </c>
      <c r="F3562">
        <f t="shared" si="82"/>
        <v>725</v>
      </c>
      <c r="G3562">
        <v>950</v>
      </c>
      <c r="H3562">
        <v>975</v>
      </c>
    </row>
    <row r="3563" spans="1:8" x14ac:dyDescent="0.25">
      <c r="A3563">
        <v>4006</v>
      </c>
      <c r="B3563" t="s">
        <v>3865</v>
      </c>
      <c r="C3563" s="8" t="s">
        <v>3885</v>
      </c>
      <c r="D3563" s="1">
        <v>176</v>
      </c>
      <c r="E3563">
        <v>600</v>
      </c>
      <c r="F3563">
        <f t="shared" si="82"/>
        <v>650</v>
      </c>
      <c r="G3563">
        <v>850</v>
      </c>
      <c r="H3563">
        <v>875</v>
      </c>
    </row>
    <row r="3564" spans="1:8" x14ac:dyDescent="0.25">
      <c r="A3564">
        <v>4007</v>
      </c>
      <c r="B3564" t="s">
        <v>3865</v>
      </c>
      <c r="C3564" s="1" t="s">
        <v>3903</v>
      </c>
      <c r="D3564" s="1">
        <v>176</v>
      </c>
      <c r="E3564">
        <v>395</v>
      </c>
      <c r="F3564">
        <f t="shared" si="82"/>
        <v>445</v>
      </c>
      <c r="G3564">
        <v>650</v>
      </c>
      <c r="H3564">
        <v>675</v>
      </c>
    </row>
    <row r="3565" spans="1:8" x14ac:dyDescent="0.25">
      <c r="A3565">
        <v>4008</v>
      </c>
      <c r="B3565" t="s">
        <v>3865</v>
      </c>
      <c r="C3565" s="1" t="s">
        <v>3904</v>
      </c>
      <c r="D3565" s="1">
        <v>176</v>
      </c>
      <c r="E3565">
        <v>375</v>
      </c>
      <c r="F3565">
        <f t="shared" si="82"/>
        <v>425</v>
      </c>
      <c r="G3565">
        <v>480</v>
      </c>
      <c r="H3565">
        <v>495</v>
      </c>
    </row>
    <row r="3566" spans="1:8" x14ac:dyDescent="0.25">
      <c r="A3566">
        <v>4009</v>
      </c>
      <c r="B3566" t="s">
        <v>3865</v>
      </c>
      <c r="C3566" s="8" t="s">
        <v>3886</v>
      </c>
      <c r="D3566" s="1">
        <v>176</v>
      </c>
      <c r="E3566">
        <v>700</v>
      </c>
      <c r="F3566">
        <f>SUM(E3566+50)</f>
        <v>750</v>
      </c>
      <c r="G3566">
        <v>950</v>
      </c>
      <c r="H3566">
        <v>975</v>
      </c>
    </row>
    <row r="3567" spans="1:8" x14ac:dyDescent="0.25">
      <c r="A3567">
        <v>4010</v>
      </c>
      <c r="B3567" t="s">
        <v>3865</v>
      </c>
      <c r="C3567" s="8" t="s">
        <v>3889</v>
      </c>
      <c r="D3567" s="1">
        <v>176</v>
      </c>
    </row>
    <row r="3568" spans="1:8" x14ac:dyDescent="0.25">
      <c r="A3568">
        <v>4011</v>
      </c>
      <c r="B3568" t="s">
        <v>3865</v>
      </c>
      <c r="C3568" s="8" t="s">
        <v>3890</v>
      </c>
      <c r="D3568" s="1">
        <v>176</v>
      </c>
    </row>
    <row r="3569" spans="1:8" x14ac:dyDescent="0.25">
      <c r="A3569">
        <v>4012</v>
      </c>
      <c r="B3569" t="s">
        <v>3865</v>
      </c>
      <c r="C3569" s="8" t="s">
        <v>3887</v>
      </c>
      <c r="D3569" s="1">
        <v>176</v>
      </c>
    </row>
    <row r="3570" spans="1:8" x14ac:dyDescent="0.25">
      <c r="A3570">
        <v>4013</v>
      </c>
      <c r="B3570" t="s">
        <v>3865</v>
      </c>
      <c r="C3570" s="8" t="s">
        <v>3888</v>
      </c>
      <c r="D3570" s="1">
        <v>176</v>
      </c>
    </row>
    <row r="3571" spans="1:8" x14ac:dyDescent="0.25">
      <c r="A3571">
        <v>4014</v>
      </c>
      <c r="B3571" t="s">
        <v>3865</v>
      </c>
      <c r="C3571" s="8" t="s">
        <v>3891</v>
      </c>
      <c r="D3571" s="1">
        <v>176</v>
      </c>
    </row>
    <row r="3572" spans="1:8" x14ac:dyDescent="0.25">
      <c r="A3572">
        <v>4015</v>
      </c>
      <c r="B3572" t="s">
        <v>3865</v>
      </c>
      <c r="C3572" s="8" t="s">
        <v>3905</v>
      </c>
      <c r="D3572" s="1">
        <v>176</v>
      </c>
      <c r="E3572">
        <v>840</v>
      </c>
      <c r="F3572">
        <f t="shared" ref="F3572" si="83">SUM(E3572+50)</f>
        <v>890</v>
      </c>
      <c r="G3572">
        <v>1250</v>
      </c>
      <c r="H3572">
        <v>1275</v>
      </c>
    </row>
    <row r="3573" spans="1:8" x14ac:dyDescent="0.25">
      <c r="A3573">
        <v>4016</v>
      </c>
      <c r="B3573" t="s">
        <v>3865</v>
      </c>
      <c r="C3573" s="8" t="s">
        <v>3906</v>
      </c>
      <c r="D3573" s="1">
        <v>176</v>
      </c>
      <c r="E3573">
        <v>450</v>
      </c>
      <c r="F3573">
        <v>600</v>
      </c>
      <c r="G3573">
        <v>750</v>
      </c>
      <c r="H3573">
        <v>775</v>
      </c>
    </row>
    <row r="3575" spans="1:8" x14ac:dyDescent="0.25">
      <c r="A3575">
        <v>4017</v>
      </c>
      <c r="B3575" t="s">
        <v>4169</v>
      </c>
      <c r="C3575" s="1" t="s">
        <v>3914</v>
      </c>
      <c r="D3575" s="1">
        <v>176</v>
      </c>
    </row>
    <row r="3576" spans="1:8" x14ac:dyDescent="0.25">
      <c r="A3576">
        <v>4018</v>
      </c>
      <c r="B3576" t="s">
        <v>4170</v>
      </c>
      <c r="C3576" s="1" t="s">
        <v>3915</v>
      </c>
      <c r="D3576" s="1">
        <v>176</v>
      </c>
    </row>
    <row r="3577" spans="1:8" x14ac:dyDescent="0.25">
      <c r="A3577">
        <v>4019</v>
      </c>
      <c r="B3577" t="s">
        <v>4170</v>
      </c>
      <c r="C3577" s="1" t="s">
        <v>3916</v>
      </c>
      <c r="D3577" s="1">
        <v>176</v>
      </c>
    </row>
    <row r="3578" spans="1:8" x14ac:dyDescent="0.25">
      <c r="A3578">
        <v>4020</v>
      </c>
      <c r="B3578" t="s">
        <v>4085</v>
      </c>
      <c r="C3578" s="1" t="s">
        <v>3917</v>
      </c>
      <c r="D3578" s="1">
        <v>176</v>
      </c>
    </row>
    <row r="3579" spans="1:8" x14ac:dyDescent="0.25">
      <c r="A3579">
        <v>4021</v>
      </c>
      <c r="B3579" t="s">
        <v>4085</v>
      </c>
      <c r="C3579" s="1" t="s">
        <v>3918</v>
      </c>
      <c r="D3579" s="1">
        <v>176</v>
      </c>
    </row>
    <row r="3580" spans="1:8" x14ac:dyDescent="0.25">
      <c r="A3580">
        <v>4022</v>
      </c>
      <c r="B3580" t="s">
        <v>4171</v>
      </c>
      <c r="C3580" s="1" t="s">
        <v>3891</v>
      </c>
      <c r="D3580" s="1">
        <v>176</v>
      </c>
      <c r="E3580">
        <v>21</v>
      </c>
      <c r="F3580">
        <v>40</v>
      </c>
      <c r="G3580">
        <v>60</v>
      </c>
      <c r="H3580">
        <v>65</v>
      </c>
    </row>
    <row r="3581" spans="1:8" x14ac:dyDescent="0.25">
      <c r="A3581">
        <v>4023</v>
      </c>
      <c r="B3581" t="s">
        <v>4172</v>
      </c>
      <c r="C3581" s="1" t="s">
        <v>3919</v>
      </c>
      <c r="D3581" s="1">
        <v>176</v>
      </c>
    </row>
    <row r="3582" spans="1:8" x14ac:dyDescent="0.25">
      <c r="A3582">
        <v>4024</v>
      </c>
      <c r="B3582" t="s">
        <v>4172</v>
      </c>
      <c r="C3582" s="1" t="s">
        <v>3920</v>
      </c>
      <c r="D3582" s="1">
        <v>176</v>
      </c>
    </row>
    <row r="3583" spans="1:8" x14ac:dyDescent="0.25">
      <c r="A3583">
        <v>4025</v>
      </c>
      <c r="B3583" t="s">
        <v>4173</v>
      </c>
      <c r="C3583" s="1" t="s">
        <v>3921</v>
      </c>
      <c r="D3583" s="1">
        <v>176</v>
      </c>
      <c r="G3583">
        <v>60</v>
      </c>
    </row>
    <row r="3584" spans="1:8" x14ac:dyDescent="0.25">
      <c r="A3584">
        <v>4026</v>
      </c>
      <c r="B3584" t="s">
        <v>4174</v>
      </c>
      <c r="C3584" s="1" t="s">
        <v>3922</v>
      </c>
      <c r="D3584" s="1">
        <v>176</v>
      </c>
    </row>
    <row r="3585" spans="1:4" x14ac:dyDescent="0.25">
      <c r="A3585">
        <v>4027</v>
      </c>
      <c r="B3585" t="s">
        <v>4170</v>
      </c>
      <c r="C3585" s="1" t="s">
        <v>3923</v>
      </c>
      <c r="D3585" s="1">
        <v>176</v>
      </c>
    </row>
    <row r="3586" spans="1:4" x14ac:dyDescent="0.25">
      <c r="A3586">
        <v>4028</v>
      </c>
      <c r="B3586" t="s">
        <v>4175</v>
      </c>
      <c r="C3586" s="1" t="s">
        <v>3924</v>
      </c>
      <c r="D3586" s="1">
        <v>176</v>
      </c>
    </row>
    <row r="3587" spans="1:4" x14ac:dyDescent="0.25">
      <c r="A3587">
        <v>4029</v>
      </c>
      <c r="B3587" t="s">
        <v>4170</v>
      </c>
      <c r="C3587" s="1" t="s">
        <v>3925</v>
      </c>
      <c r="D3587" s="1">
        <v>176</v>
      </c>
    </row>
    <row r="3588" spans="1:4" x14ac:dyDescent="0.25">
      <c r="A3588">
        <v>4030</v>
      </c>
      <c r="B3588" t="s">
        <v>4170</v>
      </c>
      <c r="C3588" s="1" t="s">
        <v>3926</v>
      </c>
      <c r="D3588" s="1">
        <v>176</v>
      </c>
    </row>
    <row r="3589" spans="1:4" x14ac:dyDescent="0.25">
      <c r="A3589">
        <v>4031</v>
      </c>
      <c r="B3589" t="s">
        <v>4176</v>
      </c>
      <c r="C3589" s="1" t="s">
        <v>3927</v>
      </c>
      <c r="D3589" s="1">
        <v>176</v>
      </c>
    </row>
    <row r="3590" spans="1:4" x14ac:dyDescent="0.25">
      <c r="A3590">
        <v>4032</v>
      </c>
      <c r="B3590" t="s">
        <v>4172</v>
      </c>
      <c r="C3590" s="1" t="s">
        <v>3928</v>
      </c>
      <c r="D3590" s="1">
        <v>176</v>
      </c>
    </row>
    <row r="3591" spans="1:4" x14ac:dyDescent="0.25">
      <c r="A3591">
        <v>4033</v>
      </c>
      <c r="B3591" t="s">
        <v>4177</v>
      </c>
      <c r="C3591" s="1" t="s">
        <v>3929</v>
      </c>
      <c r="D3591" s="1">
        <v>176</v>
      </c>
    </row>
    <row r="3592" spans="1:4" x14ac:dyDescent="0.25">
      <c r="A3592">
        <v>4034</v>
      </c>
      <c r="B3592" t="s">
        <v>4178</v>
      </c>
      <c r="C3592" s="1" t="s">
        <v>3933</v>
      </c>
      <c r="D3592" s="1">
        <v>176</v>
      </c>
    </row>
    <row r="3593" spans="1:4" x14ac:dyDescent="0.25">
      <c r="A3593">
        <v>4035</v>
      </c>
      <c r="B3593" t="s">
        <v>4179</v>
      </c>
      <c r="C3593" s="1" t="s">
        <v>3932</v>
      </c>
      <c r="D3593" s="1">
        <v>176</v>
      </c>
    </row>
    <row r="3594" spans="1:4" x14ac:dyDescent="0.25">
      <c r="A3594">
        <v>4036</v>
      </c>
      <c r="B3594" t="s">
        <v>4180</v>
      </c>
      <c r="C3594" s="1" t="s">
        <v>3931</v>
      </c>
      <c r="D3594" s="1">
        <v>176</v>
      </c>
    </row>
    <row r="3595" spans="1:4" x14ac:dyDescent="0.25">
      <c r="A3595">
        <v>4037</v>
      </c>
      <c r="B3595" t="s">
        <v>4181</v>
      </c>
      <c r="C3595" s="19" t="s">
        <v>3930</v>
      </c>
      <c r="D3595" s="1">
        <v>176</v>
      </c>
    </row>
    <row r="3596" spans="1:4" x14ac:dyDescent="0.25">
      <c r="A3596">
        <v>4038</v>
      </c>
      <c r="B3596" t="s">
        <v>4182</v>
      </c>
      <c r="C3596" s="17" t="s">
        <v>3934</v>
      </c>
      <c r="D3596" s="1">
        <v>176</v>
      </c>
    </row>
    <row r="3597" spans="1:4" x14ac:dyDescent="0.25">
      <c r="A3597">
        <v>4039</v>
      </c>
      <c r="B3597" t="s">
        <v>4183</v>
      </c>
      <c r="C3597" s="17" t="s">
        <v>3936</v>
      </c>
      <c r="D3597" s="1">
        <v>176</v>
      </c>
    </row>
    <row r="3598" spans="1:4" x14ac:dyDescent="0.25">
      <c r="A3598">
        <v>4040</v>
      </c>
      <c r="B3598" t="s">
        <v>4183</v>
      </c>
      <c r="C3598" s="17" t="s">
        <v>3935</v>
      </c>
      <c r="D3598" s="1">
        <v>176</v>
      </c>
    </row>
    <row r="3599" spans="1:4" x14ac:dyDescent="0.25">
      <c r="A3599">
        <v>4041</v>
      </c>
      <c r="B3599" t="s">
        <v>4184</v>
      </c>
      <c r="C3599" s="8" t="s">
        <v>3937</v>
      </c>
      <c r="D3599" s="1">
        <v>176</v>
      </c>
    </row>
    <row r="3600" spans="1:4" x14ac:dyDescent="0.25">
      <c r="A3600">
        <v>4042</v>
      </c>
      <c r="B3600" t="s">
        <v>4169</v>
      </c>
      <c r="C3600" s="8" t="s">
        <v>3938</v>
      </c>
      <c r="D3600" s="1">
        <v>176</v>
      </c>
    </row>
    <row r="3601" spans="1:8" x14ac:dyDescent="0.25">
      <c r="A3601">
        <v>4043</v>
      </c>
      <c r="B3601" t="s">
        <v>4185</v>
      </c>
      <c r="C3601" s="8" t="s">
        <v>3939</v>
      </c>
      <c r="D3601" s="1">
        <v>176</v>
      </c>
    </row>
    <row r="3603" spans="1:8" x14ac:dyDescent="0.25">
      <c r="A3603">
        <v>4044</v>
      </c>
      <c r="B3603" t="s">
        <v>4082</v>
      </c>
      <c r="C3603" s="8" t="s">
        <v>3954</v>
      </c>
      <c r="D3603" s="1">
        <v>176</v>
      </c>
      <c r="E3603">
        <v>217</v>
      </c>
      <c r="F3603">
        <f>SUM(E3603+30)</f>
        <v>247</v>
      </c>
      <c r="G3603">
        <v>380</v>
      </c>
      <c r="H3603">
        <v>395</v>
      </c>
    </row>
    <row r="3604" spans="1:8" x14ac:dyDescent="0.25">
      <c r="A3604">
        <v>4045</v>
      </c>
      <c r="B3604" t="s">
        <v>4083</v>
      </c>
      <c r="C3604" s="8" t="s">
        <v>3955</v>
      </c>
      <c r="D3604" s="1">
        <v>176</v>
      </c>
      <c r="E3604">
        <v>650</v>
      </c>
      <c r="F3604">
        <f t="shared" ref="F3604:F3618" si="84">SUM(E3604+30)</f>
        <v>680</v>
      </c>
      <c r="G3604">
        <v>950</v>
      </c>
      <c r="H3604">
        <v>975</v>
      </c>
    </row>
    <row r="3605" spans="1:8" x14ac:dyDescent="0.25">
      <c r="A3605">
        <v>4046</v>
      </c>
      <c r="B3605" t="s">
        <v>4084</v>
      </c>
      <c r="C3605" s="8" t="s">
        <v>3956</v>
      </c>
      <c r="D3605" s="1">
        <v>176</v>
      </c>
      <c r="E3605">
        <v>2400</v>
      </c>
      <c r="F3605">
        <f t="shared" si="84"/>
        <v>2430</v>
      </c>
      <c r="G3605">
        <v>2950</v>
      </c>
      <c r="H3605">
        <v>2975</v>
      </c>
    </row>
    <row r="3606" spans="1:8" x14ac:dyDescent="0.25">
      <c r="A3606">
        <v>4047</v>
      </c>
      <c r="B3606" t="s">
        <v>4085</v>
      </c>
      <c r="C3606" s="8" t="s">
        <v>3957</v>
      </c>
      <c r="D3606" s="1">
        <v>176</v>
      </c>
      <c r="E3606">
        <v>480</v>
      </c>
      <c r="F3606">
        <f t="shared" si="84"/>
        <v>510</v>
      </c>
      <c r="G3606">
        <v>750</v>
      </c>
      <c r="H3606">
        <v>775</v>
      </c>
    </row>
    <row r="3607" spans="1:8" x14ac:dyDescent="0.25">
      <c r="A3607">
        <v>4048</v>
      </c>
      <c r="B3607" t="s">
        <v>4085</v>
      </c>
      <c r="C3607" s="8" t="s">
        <v>3958</v>
      </c>
      <c r="D3607" s="1">
        <v>176</v>
      </c>
    </row>
    <row r="3608" spans="1:8" x14ac:dyDescent="0.25">
      <c r="A3608">
        <v>4049</v>
      </c>
      <c r="B3608" t="s">
        <v>4085</v>
      </c>
      <c r="C3608" s="8" t="s">
        <v>3959</v>
      </c>
      <c r="D3608" s="1">
        <v>176</v>
      </c>
      <c r="E3608">
        <v>750</v>
      </c>
      <c r="F3608">
        <f t="shared" si="84"/>
        <v>780</v>
      </c>
      <c r="G3608">
        <v>980</v>
      </c>
      <c r="H3608">
        <v>995</v>
      </c>
    </row>
    <row r="3609" spans="1:8" x14ac:dyDescent="0.25">
      <c r="A3609">
        <v>4050</v>
      </c>
      <c r="B3609" t="s">
        <v>4085</v>
      </c>
      <c r="C3609" s="8" t="s">
        <v>3960</v>
      </c>
      <c r="D3609" s="1">
        <v>176</v>
      </c>
      <c r="E3609">
        <v>675</v>
      </c>
      <c r="F3609">
        <f t="shared" si="84"/>
        <v>705</v>
      </c>
      <c r="G3609">
        <v>950</v>
      </c>
      <c r="H3609">
        <v>975</v>
      </c>
    </row>
    <row r="3610" spans="1:8" x14ac:dyDescent="0.25">
      <c r="A3610">
        <v>4051</v>
      </c>
      <c r="B3610" t="s">
        <v>4085</v>
      </c>
      <c r="C3610" s="8" t="s">
        <v>3961</v>
      </c>
      <c r="D3610" s="1">
        <v>176</v>
      </c>
      <c r="E3610">
        <v>200</v>
      </c>
      <c r="F3610">
        <f t="shared" si="84"/>
        <v>230</v>
      </c>
      <c r="G3610">
        <v>550</v>
      </c>
      <c r="H3610">
        <v>575</v>
      </c>
    </row>
    <row r="3611" spans="1:8" x14ac:dyDescent="0.25">
      <c r="A3611">
        <v>4052</v>
      </c>
      <c r="B3611" t="s">
        <v>4086</v>
      </c>
      <c r="C3611" s="8" t="s">
        <v>3962</v>
      </c>
      <c r="D3611" s="1">
        <v>176</v>
      </c>
      <c r="E3611">
        <v>450</v>
      </c>
      <c r="F3611">
        <f t="shared" si="84"/>
        <v>480</v>
      </c>
      <c r="G3611">
        <v>550</v>
      </c>
      <c r="H3611">
        <v>575</v>
      </c>
    </row>
    <row r="3612" spans="1:8" x14ac:dyDescent="0.25">
      <c r="A3612">
        <v>4053</v>
      </c>
      <c r="B3612" t="s">
        <v>4086</v>
      </c>
      <c r="C3612" s="8" t="s">
        <v>3963</v>
      </c>
      <c r="D3612" s="1">
        <v>176</v>
      </c>
      <c r="E3612">
        <v>450</v>
      </c>
      <c r="F3612">
        <f t="shared" si="84"/>
        <v>480</v>
      </c>
      <c r="G3612">
        <v>580</v>
      </c>
      <c r="H3612">
        <v>595</v>
      </c>
    </row>
    <row r="3613" spans="1:8" x14ac:dyDescent="0.25">
      <c r="A3613">
        <v>4054</v>
      </c>
      <c r="B3613" t="s">
        <v>4086</v>
      </c>
      <c r="C3613" s="8" t="s">
        <v>3964</v>
      </c>
      <c r="D3613" s="1">
        <v>176</v>
      </c>
      <c r="E3613">
        <v>385</v>
      </c>
      <c r="F3613">
        <f t="shared" si="84"/>
        <v>415</v>
      </c>
      <c r="G3613">
        <v>500</v>
      </c>
      <c r="H3613">
        <v>525</v>
      </c>
    </row>
    <row r="3614" spans="1:8" x14ac:dyDescent="0.25">
      <c r="A3614">
        <v>4055</v>
      </c>
      <c r="B3614" t="s">
        <v>4086</v>
      </c>
      <c r="C3614" s="8" t="s">
        <v>3965</v>
      </c>
      <c r="D3614" s="1">
        <v>176</v>
      </c>
      <c r="E3614">
        <v>265</v>
      </c>
      <c r="F3614">
        <f t="shared" si="84"/>
        <v>295</v>
      </c>
      <c r="G3614">
        <v>480</v>
      </c>
      <c r="H3614">
        <v>495</v>
      </c>
    </row>
    <row r="3615" spans="1:8" x14ac:dyDescent="0.25">
      <c r="A3615">
        <v>4056</v>
      </c>
      <c r="B3615" t="s">
        <v>4086</v>
      </c>
      <c r="C3615" s="8" t="s">
        <v>3966</v>
      </c>
      <c r="D3615" s="1">
        <v>176</v>
      </c>
      <c r="E3615">
        <v>220</v>
      </c>
      <c r="F3615">
        <f t="shared" si="84"/>
        <v>250</v>
      </c>
      <c r="G3615">
        <v>400</v>
      </c>
      <c r="H3615">
        <v>425</v>
      </c>
    </row>
    <row r="3616" spans="1:8" x14ac:dyDescent="0.25">
      <c r="A3616">
        <v>4057</v>
      </c>
      <c r="B3616" t="s">
        <v>4087</v>
      </c>
      <c r="C3616" s="8" t="s">
        <v>3967</v>
      </c>
      <c r="D3616" s="1">
        <v>176</v>
      </c>
      <c r="E3616">
        <v>675</v>
      </c>
      <c r="F3616">
        <f t="shared" si="84"/>
        <v>705</v>
      </c>
      <c r="G3616">
        <v>880</v>
      </c>
      <c r="H3616">
        <v>895</v>
      </c>
    </row>
    <row r="3617" spans="1:8" x14ac:dyDescent="0.25">
      <c r="A3617">
        <v>4058</v>
      </c>
      <c r="B3617" t="s">
        <v>4087</v>
      </c>
      <c r="C3617" s="8" t="s">
        <v>3968</v>
      </c>
      <c r="D3617" s="1">
        <v>176</v>
      </c>
      <c r="E3617">
        <v>675</v>
      </c>
      <c r="F3617">
        <f t="shared" si="84"/>
        <v>705</v>
      </c>
      <c r="G3617">
        <v>880</v>
      </c>
      <c r="H3617">
        <v>895</v>
      </c>
    </row>
    <row r="3618" spans="1:8" x14ac:dyDescent="0.25">
      <c r="A3618">
        <v>4059</v>
      </c>
      <c r="B3618" t="s">
        <v>4088</v>
      </c>
      <c r="C3618" s="8" t="s">
        <v>3969</v>
      </c>
      <c r="D3618" s="1">
        <v>176</v>
      </c>
      <c r="E3618">
        <v>220</v>
      </c>
      <c r="F3618">
        <f t="shared" si="84"/>
        <v>250</v>
      </c>
      <c r="G3618">
        <v>350</v>
      </c>
      <c r="H3618">
        <v>375</v>
      </c>
    </row>
    <row r="3619" spans="1:8" x14ac:dyDescent="0.25">
      <c r="A3619"/>
    </row>
    <row r="3620" spans="1:8" x14ac:dyDescent="0.25">
      <c r="A3620">
        <v>4060</v>
      </c>
      <c r="B3620" t="s">
        <v>4242</v>
      </c>
      <c r="C3620" s="2" t="s">
        <v>4238</v>
      </c>
      <c r="D3620" s="1" t="s">
        <v>3877</v>
      </c>
      <c r="E3620">
        <v>6400</v>
      </c>
      <c r="F3620">
        <v>7100</v>
      </c>
      <c r="G3620">
        <v>7500</v>
      </c>
      <c r="H3620">
        <v>7750</v>
      </c>
    </row>
    <row r="3622" spans="1:8" x14ac:dyDescent="0.25">
      <c r="A3622">
        <v>4061</v>
      </c>
      <c r="B3622" t="s">
        <v>4239</v>
      </c>
      <c r="C3622" s="2" t="s">
        <v>4221</v>
      </c>
      <c r="D3622" s="1" t="s">
        <v>4285</v>
      </c>
      <c r="E3622">
        <v>9000</v>
      </c>
      <c r="G3622">
        <v>11500</v>
      </c>
      <c r="H3622">
        <v>11750</v>
      </c>
    </row>
    <row r="3623" spans="1:8" x14ac:dyDescent="0.25">
      <c r="A3623">
        <v>4062</v>
      </c>
      <c r="B3623" t="s">
        <v>4239</v>
      </c>
      <c r="C3623" s="2" t="s">
        <v>4222</v>
      </c>
      <c r="D3623" s="1">
        <v>177</v>
      </c>
    </row>
    <row r="3624" spans="1:8" x14ac:dyDescent="0.25">
      <c r="A3624">
        <v>4063</v>
      </c>
      <c r="B3624" t="s">
        <v>4239</v>
      </c>
      <c r="C3624" s="2" t="s">
        <v>4223</v>
      </c>
      <c r="D3624" s="1">
        <v>177</v>
      </c>
      <c r="E3624">
        <v>5250</v>
      </c>
      <c r="G3624">
        <v>6500</v>
      </c>
      <c r="H3624">
        <v>6750</v>
      </c>
    </row>
    <row r="3625" spans="1:8" x14ac:dyDescent="0.25">
      <c r="A3625">
        <v>4064</v>
      </c>
      <c r="B3625" t="s">
        <v>4239</v>
      </c>
      <c r="C3625" s="2" t="s">
        <v>4222</v>
      </c>
      <c r="D3625" s="1">
        <v>177</v>
      </c>
    </row>
    <row r="3626" spans="1:8" x14ac:dyDescent="0.25">
      <c r="A3626"/>
      <c r="C3626" s="2"/>
    </row>
    <row r="3627" spans="1:8" x14ac:dyDescent="0.25">
      <c r="A3627">
        <v>4065</v>
      </c>
      <c r="B3627" t="s">
        <v>4240</v>
      </c>
      <c r="C3627" s="2" t="s">
        <v>4224</v>
      </c>
      <c r="D3627" s="1">
        <v>177</v>
      </c>
      <c r="E3627">
        <v>8200</v>
      </c>
    </row>
    <row r="3628" spans="1:8" x14ac:dyDescent="0.25">
      <c r="A3628">
        <v>4066</v>
      </c>
      <c r="B3628" t="s">
        <v>4240</v>
      </c>
      <c r="C3628" s="2" t="s">
        <v>4225</v>
      </c>
      <c r="D3628" s="1">
        <v>177</v>
      </c>
      <c r="E3628">
        <v>4500</v>
      </c>
    </row>
    <row r="3629" spans="1:8" x14ac:dyDescent="0.25">
      <c r="A3629">
        <v>4067</v>
      </c>
      <c r="B3629" t="s">
        <v>4240</v>
      </c>
      <c r="C3629" s="2" t="s">
        <v>4225</v>
      </c>
      <c r="D3629" s="1">
        <v>177</v>
      </c>
      <c r="E3629">
        <v>4500</v>
      </c>
    </row>
    <row r="3630" spans="1:8" x14ac:dyDescent="0.25">
      <c r="A3630">
        <v>4068</v>
      </c>
      <c r="B3630" t="s">
        <v>4240</v>
      </c>
      <c r="C3630" s="2" t="s">
        <v>4227</v>
      </c>
      <c r="D3630" s="1">
        <v>177</v>
      </c>
    </row>
    <row r="3631" spans="1:8" x14ac:dyDescent="0.25">
      <c r="A3631">
        <v>4069</v>
      </c>
      <c r="B3631" t="s">
        <v>4240</v>
      </c>
      <c r="C3631" s="2" t="s">
        <v>4228</v>
      </c>
      <c r="D3631" s="1">
        <v>177</v>
      </c>
      <c r="E3631">
        <v>9400</v>
      </c>
    </row>
    <row r="3632" spans="1:8" x14ac:dyDescent="0.25">
      <c r="A3632">
        <v>4070</v>
      </c>
      <c r="B3632" t="s">
        <v>4240</v>
      </c>
      <c r="C3632" s="2" t="s">
        <v>4226</v>
      </c>
      <c r="D3632" s="1">
        <v>177</v>
      </c>
    </row>
    <row r="3633" spans="1:8" x14ac:dyDescent="0.25">
      <c r="A3633">
        <v>4071</v>
      </c>
      <c r="B3633" t="s">
        <v>4240</v>
      </c>
      <c r="C3633" s="2" t="s">
        <v>4229</v>
      </c>
      <c r="D3633" s="1">
        <v>177</v>
      </c>
    </row>
    <row r="3634" spans="1:8" x14ac:dyDescent="0.25">
      <c r="A3634">
        <v>4072</v>
      </c>
      <c r="B3634" t="s">
        <v>4240</v>
      </c>
      <c r="C3634" s="2" t="s">
        <v>4230</v>
      </c>
      <c r="D3634" s="1">
        <v>177</v>
      </c>
    </row>
    <row r="3635" spans="1:8" x14ac:dyDescent="0.25">
      <c r="A3635">
        <v>4073</v>
      </c>
      <c r="B3635" t="s">
        <v>4240</v>
      </c>
      <c r="C3635" s="2" t="s">
        <v>4231</v>
      </c>
      <c r="D3635" s="1">
        <v>177</v>
      </c>
    </row>
    <row r="3636" spans="1:8" x14ac:dyDescent="0.25">
      <c r="A3636">
        <v>4074</v>
      </c>
      <c r="B3636" t="s">
        <v>4240</v>
      </c>
      <c r="C3636" s="2" t="s">
        <v>4232</v>
      </c>
      <c r="D3636" s="1">
        <v>177</v>
      </c>
      <c r="E3636">
        <v>5500</v>
      </c>
      <c r="F3636">
        <v>6200</v>
      </c>
      <c r="G3636">
        <v>6500</v>
      </c>
      <c r="H3636">
        <v>6650</v>
      </c>
    </row>
    <row r="3637" spans="1:8" x14ac:dyDescent="0.25">
      <c r="A3637"/>
      <c r="C3637" s="2"/>
    </row>
    <row r="3638" spans="1:8" x14ac:dyDescent="0.25">
      <c r="A3638">
        <v>4075</v>
      </c>
      <c r="B3638" t="s">
        <v>4241</v>
      </c>
      <c r="C3638" s="2" t="s">
        <v>4233</v>
      </c>
      <c r="D3638" s="1">
        <v>177</v>
      </c>
    </row>
    <row r="3639" spans="1:8" x14ac:dyDescent="0.25">
      <c r="A3639">
        <v>4076</v>
      </c>
      <c r="B3639" t="s">
        <v>4241</v>
      </c>
      <c r="C3639" s="2" t="s">
        <v>4234</v>
      </c>
      <c r="D3639" s="1">
        <v>177</v>
      </c>
    </row>
    <row r="3640" spans="1:8" x14ac:dyDescent="0.25">
      <c r="A3640">
        <v>4077</v>
      </c>
      <c r="B3640" t="s">
        <v>4241</v>
      </c>
      <c r="C3640" s="2" t="s">
        <v>4235</v>
      </c>
      <c r="D3640" s="1">
        <v>177</v>
      </c>
    </row>
    <row r="3641" spans="1:8" x14ac:dyDescent="0.25">
      <c r="A3641">
        <v>4078</v>
      </c>
      <c r="B3641" t="s">
        <v>4241</v>
      </c>
      <c r="C3641" s="2" t="s">
        <v>4236</v>
      </c>
      <c r="D3641" s="1">
        <v>177</v>
      </c>
    </row>
    <row r="3642" spans="1:8" x14ac:dyDescent="0.25">
      <c r="A3642">
        <v>4079</v>
      </c>
      <c r="B3642" t="s">
        <v>4241</v>
      </c>
      <c r="C3642" s="2" t="s">
        <v>4237</v>
      </c>
      <c r="D3642" s="1">
        <v>177</v>
      </c>
    </row>
    <row r="3643" spans="1:8" x14ac:dyDescent="0.25">
      <c r="A3643"/>
      <c r="C3643" s="2"/>
    </row>
    <row r="3644" spans="1:8" x14ac:dyDescent="0.25">
      <c r="A3644">
        <v>4080</v>
      </c>
      <c r="B3644" t="s">
        <v>4251</v>
      </c>
      <c r="C3644" s="2" t="s">
        <v>4243</v>
      </c>
      <c r="D3644" s="1" t="s">
        <v>4286</v>
      </c>
      <c r="E3644">
        <v>9135</v>
      </c>
      <c r="F3644">
        <f>SUM(E3644+300)</f>
        <v>9435</v>
      </c>
      <c r="G3644">
        <v>10250</v>
      </c>
      <c r="H3644">
        <f>SUM(G3644+150)</f>
        <v>10400</v>
      </c>
    </row>
    <row r="3645" spans="1:8" x14ac:dyDescent="0.25">
      <c r="A3645">
        <v>4081</v>
      </c>
      <c r="B3645" t="s">
        <v>4251</v>
      </c>
      <c r="C3645" s="2" t="s">
        <v>4244</v>
      </c>
      <c r="D3645" s="1">
        <v>178</v>
      </c>
      <c r="E3645">
        <v>10000</v>
      </c>
      <c r="F3645">
        <f t="shared" ref="F3645:F3653" si="85">SUM(E3645+300)</f>
        <v>10300</v>
      </c>
      <c r="G3645">
        <v>10800</v>
      </c>
      <c r="H3645">
        <f t="shared" ref="H3645:H3653" si="86">SUM(G3645+150)</f>
        <v>10950</v>
      </c>
    </row>
    <row r="3646" spans="1:8" x14ac:dyDescent="0.25">
      <c r="A3646">
        <v>4082</v>
      </c>
      <c r="B3646" t="s">
        <v>4251</v>
      </c>
      <c r="C3646" s="2" t="s">
        <v>4245</v>
      </c>
      <c r="D3646" s="1">
        <v>178</v>
      </c>
      <c r="E3646">
        <v>13703</v>
      </c>
      <c r="F3646">
        <f t="shared" si="85"/>
        <v>14003</v>
      </c>
      <c r="G3646">
        <v>14800</v>
      </c>
      <c r="H3646">
        <f t="shared" si="86"/>
        <v>14950</v>
      </c>
    </row>
    <row r="3647" spans="1:8" x14ac:dyDescent="0.25">
      <c r="A3647">
        <v>4083</v>
      </c>
      <c r="B3647" t="s">
        <v>4251</v>
      </c>
      <c r="C3647" s="2" t="s">
        <v>4246</v>
      </c>
      <c r="D3647" s="1">
        <v>178</v>
      </c>
      <c r="E3647">
        <v>16444</v>
      </c>
      <c r="F3647">
        <f t="shared" si="85"/>
        <v>16744</v>
      </c>
      <c r="G3647">
        <v>17800</v>
      </c>
      <c r="H3647">
        <f t="shared" si="86"/>
        <v>17950</v>
      </c>
    </row>
    <row r="3648" spans="1:8" x14ac:dyDescent="0.25">
      <c r="A3648"/>
      <c r="C3648" s="2"/>
    </row>
    <row r="3649" spans="1:8" x14ac:dyDescent="0.25">
      <c r="A3649">
        <v>4084</v>
      </c>
      <c r="B3649" t="s">
        <v>4251</v>
      </c>
      <c r="C3649" s="2" t="s">
        <v>4247</v>
      </c>
      <c r="D3649" s="1">
        <v>178</v>
      </c>
      <c r="E3649">
        <v>8800</v>
      </c>
      <c r="F3649">
        <f t="shared" si="85"/>
        <v>9100</v>
      </c>
      <c r="G3649">
        <v>9800</v>
      </c>
      <c r="H3649">
        <f t="shared" si="86"/>
        <v>9950</v>
      </c>
    </row>
    <row r="3650" spans="1:8" x14ac:dyDescent="0.25">
      <c r="A3650">
        <v>4085</v>
      </c>
      <c r="B3650" t="s">
        <v>4251</v>
      </c>
      <c r="C3650" s="2" t="s">
        <v>4248</v>
      </c>
      <c r="D3650" s="1">
        <v>178</v>
      </c>
      <c r="E3650">
        <v>9750</v>
      </c>
      <c r="F3650">
        <f t="shared" si="85"/>
        <v>10050</v>
      </c>
      <c r="G3650">
        <v>10800</v>
      </c>
      <c r="H3650">
        <f t="shared" si="86"/>
        <v>10950</v>
      </c>
    </row>
    <row r="3651" spans="1:8" x14ac:dyDescent="0.25">
      <c r="A3651">
        <v>4086</v>
      </c>
      <c r="B3651" t="s">
        <v>4251</v>
      </c>
      <c r="C3651" s="2" t="s">
        <v>4252</v>
      </c>
      <c r="D3651" s="1">
        <v>178</v>
      </c>
      <c r="E3651">
        <v>5800</v>
      </c>
      <c r="F3651">
        <f t="shared" si="85"/>
        <v>6100</v>
      </c>
      <c r="G3651">
        <v>6800</v>
      </c>
      <c r="H3651">
        <f t="shared" si="86"/>
        <v>6950</v>
      </c>
    </row>
    <row r="3652" spans="1:8" x14ac:dyDescent="0.25">
      <c r="A3652">
        <v>4087</v>
      </c>
      <c r="B3652" t="s">
        <v>4251</v>
      </c>
      <c r="C3652" s="2" t="s">
        <v>4249</v>
      </c>
      <c r="D3652" s="1">
        <v>178</v>
      </c>
      <c r="E3652">
        <v>11500</v>
      </c>
      <c r="F3652">
        <f t="shared" si="85"/>
        <v>11800</v>
      </c>
      <c r="G3652">
        <v>12800</v>
      </c>
      <c r="H3652">
        <f t="shared" si="86"/>
        <v>12950</v>
      </c>
    </row>
    <row r="3653" spans="1:8" x14ac:dyDescent="0.25">
      <c r="A3653">
        <v>4088</v>
      </c>
      <c r="B3653" t="s">
        <v>4251</v>
      </c>
      <c r="C3653" s="2" t="s">
        <v>4250</v>
      </c>
      <c r="D3653" s="1">
        <v>178</v>
      </c>
      <c r="E3653">
        <v>15000</v>
      </c>
      <c r="F3653">
        <f t="shared" si="85"/>
        <v>15300</v>
      </c>
      <c r="G3653">
        <v>16700</v>
      </c>
      <c r="H3653">
        <f t="shared" si="86"/>
        <v>16850</v>
      </c>
    </row>
    <row r="3654" spans="1:8" x14ac:dyDescent="0.25">
      <c r="A3654"/>
      <c r="C3654" s="2"/>
    </row>
    <row r="3655" spans="1:8" x14ac:dyDescent="0.25">
      <c r="A3655">
        <v>4089</v>
      </c>
      <c r="B3655" t="s">
        <v>4282</v>
      </c>
      <c r="C3655" s="2" t="s">
        <v>4262</v>
      </c>
      <c r="D3655" s="1" t="s">
        <v>4287</v>
      </c>
      <c r="E3655">
        <v>280</v>
      </c>
      <c r="F3655">
        <f>SUM(E3655+5)</f>
        <v>285</v>
      </c>
      <c r="G3655">
        <v>350</v>
      </c>
      <c r="H3655">
        <f>SUM(G3655+15)</f>
        <v>365</v>
      </c>
    </row>
    <row r="3656" spans="1:8" x14ac:dyDescent="0.25">
      <c r="A3656">
        <v>4090</v>
      </c>
      <c r="B3656" t="s">
        <v>4282</v>
      </c>
      <c r="C3656" s="2" t="s">
        <v>4263</v>
      </c>
      <c r="D3656" s="1">
        <v>179</v>
      </c>
      <c r="E3656">
        <v>239</v>
      </c>
      <c r="F3656">
        <f t="shared" ref="F3656:F3676" si="87">SUM(E3656+5)</f>
        <v>244</v>
      </c>
      <c r="G3656">
        <v>360</v>
      </c>
      <c r="H3656">
        <f t="shared" ref="H3656:H3678" si="88">SUM(G3656+15)</f>
        <v>375</v>
      </c>
    </row>
    <row r="3657" spans="1:8" x14ac:dyDescent="0.25">
      <c r="A3657">
        <v>4091</v>
      </c>
      <c r="B3657" t="s">
        <v>4282</v>
      </c>
      <c r="C3657" s="2" t="s">
        <v>4264</v>
      </c>
      <c r="D3657" s="1">
        <v>179</v>
      </c>
      <c r="E3657">
        <v>212</v>
      </c>
      <c r="F3657">
        <f t="shared" si="87"/>
        <v>217</v>
      </c>
      <c r="G3657">
        <v>200</v>
      </c>
      <c r="H3657">
        <f t="shared" si="88"/>
        <v>215</v>
      </c>
    </row>
    <row r="3658" spans="1:8" x14ac:dyDescent="0.25">
      <c r="A3658">
        <v>4092</v>
      </c>
      <c r="B3658" t="s">
        <v>4282</v>
      </c>
      <c r="C3658" s="2" t="s">
        <v>4265</v>
      </c>
      <c r="D3658" s="1">
        <v>179</v>
      </c>
      <c r="E3658">
        <v>122</v>
      </c>
      <c r="F3658">
        <f t="shared" si="87"/>
        <v>127</v>
      </c>
      <c r="G3658">
        <v>150</v>
      </c>
      <c r="H3658">
        <f t="shared" si="88"/>
        <v>165</v>
      </c>
    </row>
    <row r="3659" spans="1:8" x14ac:dyDescent="0.25">
      <c r="A3659">
        <v>4093</v>
      </c>
      <c r="B3659" t="s">
        <v>4282</v>
      </c>
      <c r="C3659" s="2" t="s">
        <v>4266</v>
      </c>
      <c r="D3659" s="1">
        <v>179</v>
      </c>
    </row>
    <row r="3660" spans="1:8" x14ac:dyDescent="0.25">
      <c r="A3660">
        <v>4094</v>
      </c>
      <c r="B3660" t="s">
        <v>4282</v>
      </c>
      <c r="C3660" s="2" t="s">
        <v>4267</v>
      </c>
      <c r="D3660" s="1">
        <v>179</v>
      </c>
      <c r="E3660">
        <v>61</v>
      </c>
      <c r="F3660">
        <f t="shared" si="87"/>
        <v>66</v>
      </c>
      <c r="G3660">
        <v>100</v>
      </c>
      <c r="H3660">
        <f t="shared" si="88"/>
        <v>115</v>
      </c>
    </row>
    <row r="3661" spans="1:8" x14ac:dyDescent="0.25">
      <c r="A3661"/>
      <c r="C3661" s="2"/>
      <c r="D3661"/>
    </row>
    <row r="3662" spans="1:8" x14ac:dyDescent="0.25">
      <c r="A3662">
        <v>4095</v>
      </c>
      <c r="B3662" t="s">
        <v>4282</v>
      </c>
      <c r="C3662" s="2" t="s">
        <v>4268</v>
      </c>
      <c r="D3662" s="1">
        <v>179</v>
      </c>
      <c r="E3662">
        <v>330</v>
      </c>
      <c r="F3662">
        <f t="shared" si="87"/>
        <v>335</v>
      </c>
      <c r="G3662">
        <v>420</v>
      </c>
      <c r="H3662">
        <f t="shared" si="88"/>
        <v>435</v>
      </c>
    </row>
    <row r="3663" spans="1:8" x14ac:dyDescent="0.25">
      <c r="A3663">
        <v>4096</v>
      </c>
      <c r="B3663" t="s">
        <v>4282</v>
      </c>
      <c r="C3663" s="2" t="s">
        <v>4269</v>
      </c>
      <c r="D3663" s="1">
        <v>179</v>
      </c>
      <c r="E3663">
        <v>248</v>
      </c>
      <c r="F3663">
        <f t="shared" si="87"/>
        <v>253</v>
      </c>
      <c r="G3663">
        <v>320</v>
      </c>
      <c r="H3663">
        <f t="shared" si="88"/>
        <v>335</v>
      </c>
    </row>
    <row r="3664" spans="1:8" x14ac:dyDescent="0.25">
      <c r="A3664">
        <v>4097</v>
      </c>
      <c r="B3664" t="s">
        <v>4282</v>
      </c>
      <c r="C3664" s="2" t="s">
        <v>4270</v>
      </c>
      <c r="D3664" s="1">
        <v>179</v>
      </c>
      <c r="E3664">
        <v>208</v>
      </c>
      <c r="F3664">
        <f t="shared" si="87"/>
        <v>213</v>
      </c>
      <c r="G3664">
        <v>280</v>
      </c>
      <c r="H3664">
        <f t="shared" si="88"/>
        <v>295</v>
      </c>
    </row>
    <row r="3665" spans="1:8" x14ac:dyDescent="0.25">
      <c r="A3665">
        <v>4098</v>
      </c>
      <c r="B3665" t="s">
        <v>4282</v>
      </c>
      <c r="C3665" s="2" t="s">
        <v>4271</v>
      </c>
      <c r="D3665" s="1">
        <v>179</v>
      </c>
      <c r="E3665">
        <v>165</v>
      </c>
      <c r="F3665">
        <f t="shared" si="87"/>
        <v>170</v>
      </c>
      <c r="G3665">
        <v>220</v>
      </c>
      <c r="H3665">
        <f t="shared" si="88"/>
        <v>235</v>
      </c>
    </row>
    <row r="3666" spans="1:8" x14ac:dyDescent="0.25">
      <c r="A3666">
        <v>4099</v>
      </c>
      <c r="B3666" t="s">
        <v>4282</v>
      </c>
      <c r="C3666" s="2" t="s">
        <v>4272</v>
      </c>
      <c r="D3666" s="1">
        <v>179</v>
      </c>
      <c r="G3666">
        <v>180</v>
      </c>
      <c r="H3666">
        <f t="shared" si="88"/>
        <v>195</v>
      </c>
    </row>
    <row r="3667" spans="1:8" x14ac:dyDescent="0.25">
      <c r="A3667">
        <v>4100</v>
      </c>
      <c r="B3667" t="s">
        <v>4282</v>
      </c>
      <c r="C3667" s="2" t="s">
        <v>4273</v>
      </c>
      <c r="D3667" s="1">
        <v>179</v>
      </c>
      <c r="E3667">
        <v>88</v>
      </c>
      <c r="F3667">
        <f t="shared" si="87"/>
        <v>93</v>
      </c>
      <c r="G3667">
        <v>130</v>
      </c>
      <c r="H3667">
        <f t="shared" si="88"/>
        <v>145</v>
      </c>
    </row>
    <row r="3668" spans="1:8" x14ac:dyDescent="0.25">
      <c r="A3668"/>
      <c r="C3668" s="2"/>
      <c r="D3668"/>
    </row>
    <row r="3669" spans="1:8" x14ac:dyDescent="0.25">
      <c r="A3669">
        <v>4101</v>
      </c>
      <c r="B3669" t="s">
        <v>4283</v>
      </c>
      <c r="C3669" s="2" t="s">
        <v>4253</v>
      </c>
      <c r="D3669" s="1">
        <v>179</v>
      </c>
      <c r="E3669">
        <v>117</v>
      </c>
      <c r="F3669">
        <f t="shared" si="87"/>
        <v>122</v>
      </c>
      <c r="G3669">
        <v>130</v>
      </c>
      <c r="H3669">
        <f t="shared" si="88"/>
        <v>145</v>
      </c>
    </row>
    <row r="3670" spans="1:8" x14ac:dyDescent="0.25">
      <c r="A3670">
        <v>4102</v>
      </c>
      <c r="B3670" t="s">
        <v>4283</v>
      </c>
      <c r="C3670" s="2" t="s">
        <v>4255</v>
      </c>
      <c r="D3670" s="1">
        <v>179</v>
      </c>
      <c r="E3670">
        <v>156</v>
      </c>
      <c r="F3670">
        <f t="shared" si="87"/>
        <v>161</v>
      </c>
      <c r="G3670">
        <v>180</v>
      </c>
      <c r="H3670">
        <f t="shared" si="88"/>
        <v>195</v>
      </c>
    </row>
    <row r="3671" spans="1:8" x14ac:dyDescent="0.25">
      <c r="A3671">
        <v>4103</v>
      </c>
      <c r="B3671" t="s">
        <v>4283</v>
      </c>
      <c r="C3671" s="2" t="s">
        <v>4254</v>
      </c>
      <c r="D3671" s="1">
        <v>179</v>
      </c>
      <c r="E3671">
        <v>195</v>
      </c>
      <c r="F3671">
        <f t="shared" si="87"/>
        <v>200</v>
      </c>
      <c r="G3671">
        <v>210</v>
      </c>
      <c r="H3671">
        <f t="shared" si="88"/>
        <v>225</v>
      </c>
    </row>
    <row r="3672" spans="1:8" x14ac:dyDescent="0.25">
      <c r="A3672">
        <v>4104</v>
      </c>
      <c r="B3672" t="s">
        <v>4283</v>
      </c>
      <c r="C3672" s="2" t="s">
        <v>4256</v>
      </c>
      <c r="D3672" s="1">
        <v>179</v>
      </c>
      <c r="G3672">
        <v>260</v>
      </c>
      <c r="H3672">
        <f t="shared" si="88"/>
        <v>275</v>
      </c>
    </row>
    <row r="3673" spans="1:8" x14ac:dyDescent="0.25">
      <c r="A3673"/>
      <c r="C3673" s="2"/>
      <c r="D3673"/>
    </row>
    <row r="3674" spans="1:8" x14ac:dyDescent="0.25">
      <c r="A3674">
        <v>4105</v>
      </c>
      <c r="B3674" t="s">
        <v>4284</v>
      </c>
      <c r="C3674" s="2" t="s">
        <v>4257</v>
      </c>
      <c r="D3674" s="23" t="s">
        <v>4288</v>
      </c>
      <c r="E3674">
        <v>800</v>
      </c>
      <c r="F3674">
        <f t="shared" si="87"/>
        <v>805</v>
      </c>
      <c r="G3674">
        <v>950</v>
      </c>
      <c r="H3674">
        <f t="shared" si="88"/>
        <v>965</v>
      </c>
    </row>
    <row r="3675" spans="1:8" x14ac:dyDescent="0.25">
      <c r="A3675">
        <v>4106</v>
      </c>
      <c r="B3675" t="s">
        <v>4284</v>
      </c>
      <c r="C3675" s="2" t="s">
        <v>4258</v>
      </c>
      <c r="D3675" s="1">
        <v>180</v>
      </c>
      <c r="E3675">
        <v>850</v>
      </c>
      <c r="F3675">
        <f t="shared" si="87"/>
        <v>855</v>
      </c>
      <c r="G3675">
        <v>1050</v>
      </c>
      <c r="H3675">
        <f t="shared" si="88"/>
        <v>1065</v>
      </c>
    </row>
    <row r="3676" spans="1:8" x14ac:dyDescent="0.25">
      <c r="A3676">
        <v>4107</v>
      </c>
      <c r="B3676" t="s">
        <v>4284</v>
      </c>
      <c r="C3676" s="2" t="s">
        <v>4259</v>
      </c>
      <c r="D3676" s="1">
        <v>180</v>
      </c>
      <c r="E3676">
        <v>650</v>
      </c>
      <c r="F3676">
        <f t="shared" si="87"/>
        <v>655</v>
      </c>
      <c r="G3676">
        <v>850</v>
      </c>
      <c r="H3676">
        <f t="shared" si="88"/>
        <v>865</v>
      </c>
    </row>
    <row r="3677" spans="1:8" x14ac:dyDescent="0.25">
      <c r="A3677">
        <v>4108</v>
      </c>
      <c r="B3677" t="s">
        <v>4284</v>
      </c>
      <c r="C3677" s="2" t="s">
        <v>4260</v>
      </c>
      <c r="D3677" s="1">
        <v>180</v>
      </c>
      <c r="G3677">
        <v>450</v>
      </c>
      <c r="H3677">
        <f t="shared" si="88"/>
        <v>465</v>
      </c>
    </row>
    <row r="3678" spans="1:8" x14ac:dyDescent="0.25">
      <c r="A3678">
        <v>4109</v>
      </c>
      <c r="B3678" t="s">
        <v>4284</v>
      </c>
      <c r="C3678" s="2" t="s">
        <v>4261</v>
      </c>
      <c r="D3678" s="1">
        <v>180</v>
      </c>
      <c r="G3678">
        <v>680</v>
      </c>
      <c r="H3678">
        <f t="shared" si="88"/>
        <v>695</v>
      </c>
    </row>
    <row r="3679" spans="1:8" x14ac:dyDescent="0.25">
      <c r="A3679">
        <v>4110</v>
      </c>
      <c r="B3679" t="s">
        <v>4284</v>
      </c>
      <c r="C3679" s="2" t="s">
        <v>4276</v>
      </c>
      <c r="D3679" s="1">
        <v>180</v>
      </c>
    </row>
    <row r="3680" spans="1:8" x14ac:dyDescent="0.25">
      <c r="A3680">
        <v>4111</v>
      </c>
      <c r="B3680" t="s">
        <v>4284</v>
      </c>
      <c r="C3680" s="2" t="s">
        <v>4274</v>
      </c>
      <c r="D3680" s="1">
        <v>180</v>
      </c>
    </row>
    <row r="3681" spans="1:8" x14ac:dyDescent="0.25">
      <c r="A3681">
        <v>4112</v>
      </c>
      <c r="B3681" t="s">
        <v>4284</v>
      </c>
      <c r="C3681" s="2" t="s">
        <v>4275</v>
      </c>
      <c r="D3681" s="1">
        <v>180</v>
      </c>
    </row>
    <row r="3682" spans="1:8" x14ac:dyDescent="0.25">
      <c r="A3682">
        <v>4113</v>
      </c>
      <c r="B3682" t="s">
        <v>4284</v>
      </c>
      <c r="C3682" s="4" t="s">
        <v>4279</v>
      </c>
      <c r="D3682" s="1">
        <v>180</v>
      </c>
      <c r="E3682">
        <v>1200</v>
      </c>
      <c r="F3682">
        <v>1300</v>
      </c>
      <c r="G3682">
        <v>1450</v>
      </c>
      <c r="H3682">
        <v>1475</v>
      </c>
    </row>
    <row r="3683" spans="1:8" x14ac:dyDescent="0.25">
      <c r="A3683">
        <v>4114</v>
      </c>
      <c r="B3683" t="s">
        <v>4284</v>
      </c>
      <c r="C3683" s="4" t="s">
        <v>4277</v>
      </c>
      <c r="D3683" s="1">
        <v>180</v>
      </c>
      <c r="E3683">
        <v>20</v>
      </c>
      <c r="G3683">
        <v>35</v>
      </c>
      <c r="H3683">
        <v>50</v>
      </c>
    </row>
    <row r="3684" spans="1:8" x14ac:dyDescent="0.25">
      <c r="A3684">
        <v>4115</v>
      </c>
      <c r="B3684" t="s">
        <v>4284</v>
      </c>
      <c r="C3684" s="4" t="s">
        <v>4278</v>
      </c>
      <c r="D3684" s="1">
        <v>180</v>
      </c>
      <c r="E3684">
        <v>30</v>
      </c>
      <c r="G3684">
        <v>50</v>
      </c>
      <c r="H3684">
        <v>65</v>
      </c>
    </row>
    <row r="3685" spans="1:8" x14ac:dyDescent="0.25">
      <c r="A3685">
        <v>4116</v>
      </c>
      <c r="B3685" t="s">
        <v>4284</v>
      </c>
      <c r="C3685" s="4" t="s">
        <v>4280</v>
      </c>
      <c r="D3685" s="1">
        <v>180</v>
      </c>
      <c r="E3685">
        <v>2</v>
      </c>
      <c r="G3685">
        <v>5</v>
      </c>
      <c r="H3685">
        <v>7</v>
      </c>
    </row>
    <row r="3686" spans="1:8" x14ac:dyDescent="0.25">
      <c r="A3686">
        <v>4117</v>
      </c>
      <c r="B3686" t="s">
        <v>4284</v>
      </c>
      <c r="C3686" s="2" t="s">
        <v>4281</v>
      </c>
      <c r="D3686" s="1">
        <v>180</v>
      </c>
      <c r="E3686">
        <v>2</v>
      </c>
      <c r="G3686">
        <v>5</v>
      </c>
      <c r="H3686">
        <v>7</v>
      </c>
    </row>
    <row r="3687" spans="1:8" x14ac:dyDescent="0.25">
      <c r="A3687"/>
    </row>
    <row r="3688" spans="1:8" x14ac:dyDescent="0.25">
      <c r="A3688" s="10">
        <v>4118</v>
      </c>
      <c r="B3688" t="s">
        <v>3039</v>
      </c>
      <c r="C3688" s="1" t="s">
        <v>4289</v>
      </c>
      <c r="D3688" s="1">
        <v>181</v>
      </c>
      <c r="E3688">
        <v>560</v>
      </c>
      <c r="F3688">
        <v>750</v>
      </c>
      <c r="G3688">
        <v>850</v>
      </c>
      <c r="H3688">
        <v>875</v>
      </c>
    </row>
    <row r="3689" spans="1:8" x14ac:dyDescent="0.25">
      <c r="A3689" s="26"/>
    </row>
    <row r="3690" spans="1:8" x14ac:dyDescent="0.25">
      <c r="A3690" s="10">
        <v>4119</v>
      </c>
      <c r="B3690" t="s">
        <v>4290</v>
      </c>
      <c r="C3690" s="1" t="s">
        <v>4291</v>
      </c>
      <c r="D3690" s="1" t="s">
        <v>4367</v>
      </c>
      <c r="E3690">
        <v>290</v>
      </c>
      <c r="F3690">
        <v>350</v>
      </c>
      <c r="G3690">
        <v>380</v>
      </c>
      <c r="H3690">
        <v>395</v>
      </c>
    </row>
    <row r="3691" spans="1:8" x14ac:dyDescent="0.25">
      <c r="A3691" s="10">
        <v>4120</v>
      </c>
      <c r="B3691" t="s">
        <v>4290</v>
      </c>
      <c r="C3691" s="1" t="s">
        <v>4292</v>
      </c>
      <c r="D3691" s="1" t="s">
        <v>4367</v>
      </c>
      <c r="E3691">
        <v>170</v>
      </c>
      <c r="F3691">
        <v>200</v>
      </c>
      <c r="G3691">
        <v>250</v>
      </c>
      <c r="H3691">
        <v>265</v>
      </c>
    </row>
    <row r="3692" spans="1:8" x14ac:dyDescent="0.25">
      <c r="A3692" s="10">
        <v>4121</v>
      </c>
      <c r="B3692" t="s">
        <v>3953</v>
      </c>
      <c r="C3692" s="1" t="s">
        <v>4330</v>
      </c>
      <c r="D3692" s="24" t="s">
        <v>4332</v>
      </c>
    </row>
    <row r="3693" spans="1:8" x14ac:dyDescent="0.25">
      <c r="A3693" s="10">
        <v>4122</v>
      </c>
      <c r="B3693" t="s">
        <v>3953</v>
      </c>
      <c r="C3693" s="1" t="s">
        <v>4331</v>
      </c>
      <c r="D3693" s="24" t="s">
        <v>4333</v>
      </c>
    </row>
    <row r="3694" spans="1:8" x14ac:dyDescent="0.25">
      <c r="A3694" s="25"/>
      <c r="D3694" s="24"/>
    </row>
    <row r="3695" spans="1:8" x14ac:dyDescent="0.25">
      <c r="A3695" s="10">
        <v>4123</v>
      </c>
      <c r="B3695" t="s">
        <v>74</v>
      </c>
      <c r="C3695" s="1" t="s">
        <v>4334</v>
      </c>
      <c r="D3695" s="24" t="s">
        <v>4332</v>
      </c>
    </row>
    <row r="3696" spans="1:8" x14ac:dyDescent="0.25">
      <c r="A3696" s="10">
        <v>4124</v>
      </c>
      <c r="B3696" t="s">
        <v>74</v>
      </c>
      <c r="C3696" s="1" t="s">
        <v>4335</v>
      </c>
      <c r="D3696" s="24" t="s">
        <v>4332</v>
      </c>
    </row>
    <row r="3697" spans="1:8" x14ac:dyDescent="0.25">
      <c r="A3697" s="10">
        <v>4125</v>
      </c>
      <c r="B3697" s="2" t="s">
        <v>4021</v>
      </c>
      <c r="C3697" s="1" t="s">
        <v>4336</v>
      </c>
      <c r="D3697" s="1" t="s">
        <v>4337</v>
      </c>
      <c r="E3697">
        <v>313</v>
      </c>
      <c r="F3697">
        <v>450</v>
      </c>
      <c r="G3697">
        <v>480</v>
      </c>
      <c r="H3697">
        <v>505</v>
      </c>
    </row>
    <row r="3698" spans="1:8" x14ac:dyDescent="0.25">
      <c r="A3698" s="10">
        <v>4126</v>
      </c>
      <c r="B3698" s="1" t="s">
        <v>4338</v>
      </c>
      <c r="C3698" s="1" t="s">
        <v>4347</v>
      </c>
      <c r="D3698" s="1" t="s">
        <v>2478</v>
      </c>
      <c r="F3698">
        <f t="shared" ref="F3698" si="89">SUM(E3698+20)</f>
        <v>20</v>
      </c>
      <c r="G3698">
        <v>240</v>
      </c>
      <c r="H3698">
        <v>295</v>
      </c>
    </row>
    <row r="3699" spans="1:8" x14ac:dyDescent="0.25">
      <c r="B3699" s="1"/>
    </row>
    <row r="3700" spans="1:8" x14ac:dyDescent="0.25">
      <c r="A3700" s="10">
        <v>4127</v>
      </c>
      <c r="B3700" s="8" t="s">
        <v>4349</v>
      </c>
      <c r="C3700" s="2" t="s">
        <v>2384</v>
      </c>
      <c r="D3700" s="1" t="s">
        <v>2348</v>
      </c>
    </row>
    <row r="3701" spans="1:8" x14ac:dyDescent="0.25">
      <c r="A3701" s="10">
        <v>4128</v>
      </c>
      <c r="B3701" s="8" t="s">
        <v>4349</v>
      </c>
      <c r="C3701" s="2" t="s">
        <v>2385</v>
      </c>
      <c r="D3701" s="1" t="s">
        <v>2348</v>
      </c>
      <c r="F3701">
        <f>SUM(E3701+30)</f>
        <v>30</v>
      </c>
      <c r="G3701">
        <v>380</v>
      </c>
      <c r="H3701">
        <v>395</v>
      </c>
    </row>
    <row r="3702" spans="1:8" x14ac:dyDescent="0.25">
      <c r="A3702" s="10">
        <v>4129</v>
      </c>
      <c r="B3702" s="8" t="s">
        <v>3037</v>
      </c>
      <c r="C3702" s="2" t="s">
        <v>2386</v>
      </c>
      <c r="D3702" s="1" t="s">
        <v>2348</v>
      </c>
      <c r="F3702">
        <f t="shared" ref="F3702:F3710" si="90">SUM(E3702+30)</f>
        <v>30</v>
      </c>
      <c r="G3702">
        <v>100</v>
      </c>
      <c r="H3702">
        <v>110</v>
      </c>
    </row>
    <row r="3703" spans="1:8" x14ac:dyDescent="0.25">
      <c r="A3703" s="10">
        <v>4130</v>
      </c>
      <c r="B3703" s="8" t="s">
        <v>3037</v>
      </c>
      <c r="C3703" s="2" t="s">
        <v>2387</v>
      </c>
      <c r="D3703" s="1" t="s">
        <v>2348</v>
      </c>
      <c r="F3703">
        <f t="shared" si="90"/>
        <v>30</v>
      </c>
      <c r="G3703">
        <v>380</v>
      </c>
      <c r="H3703">
        <v>395</v>
      </c>
    </row>
    <row r="3704" spans="1:8" x14ac:dyDescent="0.25">
      <c r="A3704" s="10">
        <v>4131</v>
      </c>
      <c r="B3704" s="8" t="s">
        <v>4350</v>
      </c>
      <c r="C3704" s="2" t="s">
        <v>2388</v>
      </c>
      <c r="D3704" s="1" t="s">
        <v>2348</v>
      </c>
      <c r="F3704">
        <f t="shared" si="90"/>
        <v>30</v>
      </c>
      <c r="G3704">
        <v>380</v>
      </c>
      <c r="H3704">
        <v>395</v>
      </c>
    </row>
    <row r="3705" spans="1:8" x14ac:dyDescent="0.25">
      <c r="A3705" s="10">
        <v>4132</v>
      </c>
      <c r="B3705" s="8" t="s">
        <v>4351</v>
      </c>
      <c r="C3705" s="2" t="s">
        <v>2390</v>
      </c>
      <c r="D3705" s="1" t="s">
        <v>2348</v>
      </c>
      <c r="F3705">
        <f t="shared" si="90"/>
        <v>30</v>
      </c>
      <c r="G3705">
        <v>480</v>
      </c>
      <c r="H3705">
        <v>495</v>
      </c>
    </row>
    <row r="3706" spans="1:8" x14ac:dyDescent="0.25">
      <c r="A3706" s="10">
        <v>4133</v>
      </c>
      <c r="B3706" s="8" t="s">
        <v>4352</v>
      </c>
      <c r="C3706" s="2" t="s">
        <v>2391</v>
      </c>
      <c r="D3706" s="1" t="s">
        <v>2348</v>
      </c>
      <c r="F3706">
        <f t="shared" si="90"/>
        <v>30</v>
      </c>
      <c r="G3706">
        <v>100</v>
      </c>
      <c r="H3706">
        <v>110</v>
      </c>
    </row>
    <row r="3707" spans="1:8" x14ac:dyDescent="0.25">
      <c r="A3707" s="10">
        <v>4134</v>
      </c>
      <c r="B3707" s="8" t="s">
        <v>4353</v>
      </c>
      <c r="C3707" s="2" t="s">
        <v>2392</v>
      </c>
      <c r="D3707" s="1" t="s">
        <v>2348</v>
      </c>
      <c r="F3707">
        <f t="shared" si="90"/>
        <v>30</v>
      </c>
      <c r="G3707">
        <v>480</v>
      </c>
      <c r="H3707">
        <v>495</v>
      </c>
    </row>
    <row r="3708" spans="1:8" x14ac:dyDescent="0.25">
      <c r="A3708" s="10">
        <v>4135</v>
      </c>
      <c r="B3708" s="8" t="s">
        <v>4354</v>
      </c>
      <c r="C3708" s="2" t="s">
        <v>2394</v>
      </c>
      <c r="D3708" s="1" t="s">
        <v>2348</v>
      </c>
      <c r="F3708">
        <f t="shared" si="90"/>
        <v>30</v>
      </c>
      <c r="G3708">
        <v>180</v>
      </c>
      <c r="H3708">
        <v>195</v>
      </c>
    </row>
    <row r="3709" spans="1:8" x14ac:dyDescent="0.25">
      <c r="A3709" s="10">
        <v>4136</v>
      </c>
      <c r="B3709" s="8" t="s">
        <v>4355</v>
      </c>
      <c r="C3709" s="2" t="s">
        <v>2395</v>
      </c>
      <c r="D3709" s="1" t="s">
        <v>2348</v>
      </c>
      <c r="F3709">
        <f t="shared" si="90"/>
        <v>30</v>
      </c>
      <c r="G3709">
        <v>480</v>
      </c>
      <c r="H3709">
        <v>495</v>
      </c>
    </row>
    <row r="3710" spans="1:8" x14ac:dyDescent="0.25">
      <c r="A3710" s="10">
        <v>4137</v>
      </c>
      <c r="B3710" s="8" t="s">
        <v>4355</v>
      </c>
      <c r="C3710" s="2" t="s">
        <v>2396</v>
      </c>
      <c r="D3710" s="1" t="s">
        <v>2348</v>
      </c>
      <c r="F3710">
        <f t="shared" si="90"/>
        <v>30</v>
      </c>
      <c r="G3710">
        <v>650</v>
      </c>
      <c r="H3710">
        <v>675</v>
      </c>
    </row>
    <row r="3711" spans="1:8" x14ac:dyDescent="0.25">
      <c r="A3711" s="10">
        <v>4138</v>
      </c>
      <c r="B3711" s="8" t="s">
        <v>4356</v>
      </c>
      <c r="C3711" s="2" t="s">
        <v>2397</v>
      </c>
      <c r="D3711" s="1" t="s">
        <v>2348</v>
      </c>
    </row>
    <row r="3712" spans="1:8" x14ac:dyDescent="0.25">
      <c r="A3712" s="10">
        <v>4139</v>
      </c>
      <c r="B3712" s="8" t="s">
        <v>4357</v>
      </c>
      <c r="C3712" s="2" t="s">
        <v>2399</v>
      </c>
      <c r="D3712" s="1" t="s">
        <v>2348</v>
      </c>
    </row>
    <row r="3713" spans="1:4" x14ac:dyDescent="0.25">
      <c r="A3713" s="10">
        <v>4140</v>
      </c>
      <c r="B3713" s="8" t="s">
        <v>3037</v>
      </c>
      <c r="C3713" s="2" t="s">
        <v>2407</v>
      </c>
      <c r="D3713" s="1" t="s">
        <v>2348</v>
      </c>
    </row>
    <row r="3714" spans="1:4" x14ac:dyDescent="0.25">
      <c r="A3714" s="10">
        <v>4141</v>
      </c>
      <c r="B3714" s="8" t="s">
        <v>4356</v>
      </c>
      <c r="C3714" s="2" t="s">
        <v>2589</v>
      </c>
      <c r="D3714" s="1" t="s">
        <v>2348</v>
      </c>
    </row>
    <row r="3715" spans="1:4" x14ac:dyDescent="0.25">
      <c r="A3715" s="10">
        <v>4142</v>
      </c>
      <c r="B3715" s="8" t="s">
        <v>4358</v>
      </c>
      <c r="C3715" s="2" t="s">
        <v>4359</v>
      </c>
      <c r="D3715" s="1" t="s">
        <v>2348</v>
      </c>
    </row>
    <row r="3716" spans="1:4" x14ac:dyDescent="0.25">
      <c r="A3716" s="10">
        <v>4143</v>
      </c>
      <c r="B3716" s="8" t="s">
        <v>4361</v>
      </c>
      <c r="C3716" s="2" t="s">
        <v>4362</v>
      </c>
      <c r="D3716" s="1" t="s">
        <v>4363</v>
      </c>
    </row>
    <row r="3717" spans="1:4" x14ac:dyDescent="0.25">
      <c r="A3717" s="10">
        <v>4144</v>
      </c>
      <c r="B3717" s="8" t="s">
        <v>3867</v>
      </c>
      <c r="C3717" s="2" t="s">
        <v>4364</v>
      </c>
      <c r="D3717" s="1" t="s">
        <v>4365</v>
      </c>
    </row>
    <row r="3718" spans="1:4" x14ac:dyDescent="0.25">
      <c r="A3718" s="10">
        <v>4145</v>
      </c>
      <c r="B3718" s="8" t="s">
        <v>3867</v>
      </c>
      <c r="C3718" s="2" t="s">
        <v>4366</v>
      </c>
      <c r="D3718" s="1" t="s">
        <v>4365</v>
      </c>
    </row>
    <row r="3719" spans="1:4" x14ac:dyDescent="0.25">
      <c r="A3719" s="10">
        <v>4146</v>
      </c>
      <c r="B3719" s="8" t="s">
        <v>4369</v>
      </c>
      <c r="C3719" s="1" t="s">
        <v>4293</v>
      </c>
      <c r="D3719" s="1" t="s">
        <v>4368</v>
      </c>
    </row>
    <row r="3720" spans="1:4" x14ac:dyDescent="0.25">
      <c r="A3720" s="10">
        <v>4147</v>
      </c>
      <c r="B3720" s="8" t="s">
        <v>4369</v>
      </c>
      <c r="C3720" s="1" t="s">
        <v>4294</v>
      </c>
      <c r="D3720" s="1" t="s">
        <v>4368</v>
      </c>
    </row>
    <row r="3721" spans="1:4" x14ac:dyDescent="0.25">
      <c r="A3721" s="10">
        <v>4148</v>
      </c>
      <c r="B3721" s="8" t="s">
        <v>4369</v>
      </c>
      <c r="C3721" s="1" t="s">
        <v>4295</v>
      </c>
      <c r="D3721" s="1" t="s">
        <v>4368</v>
      </c>
    </row>
    <row r="3722" spans="1:4" x14ac:dyDescent="0.25">
      <c r="A3722" s="10">
        <v>4149</v>
      </c>
      <c r="B3722" s="8" t="s">
        <v>4369</v>
      </c>
      <c r="C3722" s="1" t="s">
        <v>4296</v>
      </c>
      <c r="D3722" s="1" t="s">
        <v>4368</v>
      </c>
    </row>
    <row r="3723" spans="1:4" x14ac:dyDescent="0.25">
      <c r="A3723" s="10">
        <v>4150</v>
      </c>
      <c r="B3723" s="8" t="s">
        <v>4370</v>
      </c>
      <c r="C3723" s="1" t="s">
        <v>4297</v>
      </c>
      <c r="D3723" s="1" t="s">
        <v>4368</v>
      </c>
    </row>
    <row r="3724" spans="1:4" x14ac:dyDescent="0.25">
      <c r="A3724" s="10">
        <v>4151</v>
      </c>
      <c r="B3724" s="8" t="s">
        <v>4371</v>
      </c>
      <c r="C3724" s="1" t="s">
        <v>4298</v>
      </c>
      <c r="D3724" s="1" t="s">
        <v>4368</v>
      </c>
    </row>
    <row r="3725" spans="1:4" x14ac:dyDescent="0.25">
      <c r="A3725" s="10">
        <v>4152</v>
      </c>
      <c r="B3725" s="8" t="s">
        <v>4371</v>
      </c>
      <c r="C3725" s="1" t="s">
        <v>4299</v>
      </c>
      <c r="D3725" s="1" t="s">
        <v>4368</v>
      </c>
    </row>
    <row r="3726" spans="1:4" x14ac:dyDescent="0.25">
      <c r="A3726" s="10">
        <v>4153</v>
      </c>
      <c r="B3726" s="8" t="s">
        <v>4372</v>
      </c>
      <c r="C3726" s="1" t="s">
        <v>4300</v>
      </c>
      <c r="D3726" s="1" t="s">
        <v>4368</v>
      </c>
    </row>
    <row r="3727" spans="1:4" x14ac:dyDescent="0.25">
      <c r="A3727" s="10">
        <v>4154</v>
      </c>
      <c r="B3727" s="8" t="s">
        <v>4372</v>
      </c>
      <c r="C3727" s="1" t="s">
        <v>4301</v>
      </c>
      <c r="D3727" s="1" t="s">
        <v>4368</v>
      </c>
    </row>
    <row r="3728" spans="1:4" x14ac:dyDescent="0.25">
      <c r="A3728" s="27"/>
      <c r="B3728" s="8"/>
    </row>
    <row r="3729" spans="1:8" x14ac:dyDescent="0.25">
      <c r="A3729"/>
      <c r="B3729" s="8"/>
    </row>
    <row r="3730" spans="1:8" x14ac:dyDescent="0.25">
      <c r="A3730"/>
      <c r="B3730" s="8"/>
      <c r="C3730" s="2"/>
    </row>
    <row r="3731" spans="1:8" x14ac:dyDescent="0.25">
      <c r="A3731"/>
      <c r="B3731" s="8"/>
      <c r="C3731" s="2"/>
    </row>
    <row r="3732" spans="1:8" x14ac:dyDescent="0.25">
      <c r="A3732"/>
      <c r="B3732" s="8"/>
      <c r="C3732" s="2"/>
    </row>
    <row r="3733" spans="1:8" x14ac:dyDescent="0.25">
      <c r="A3733"/>
      <c r="B3733" s="8"/>
      <c r="C3733" s="2"/>
    </row>
    <row r="3734" spans="1:8" x14ac:dyDescent="0.25">
      <c r="A3734"/>
      <c r="B3734" s="8"/>
      <c r="C3734" s="2"/>
    </row>
    <row r="3735" spans="1:8" x14ac:dyDescent="0.25">
      <c r="A3735"/>
      <c r="B3735" s="8"/>
      <c r="C3735" s="2"/>
    </row>
    <row r="3736" spans="1:8" x14ac:dyDescent="0.25">
      <c r="A3736"/>
      <c r="B3736" s="8"/>
      <c r="C3736" s="2"/>
    </row>
    <row r="3737" spans="1:8" x14ac:dyDescent="0.25">
      <c r="E3737">
        <v>290</v>
      </c>
      <c r="F3737">
        <f>SUM(E3737+30)</f>
        <v>320</v>
      </c>
      <c r="G3737">
        <v>380</v>
      </c>
      <c r="H3737">
        <v>395</v>
      </c>
    </row>
    <row r="3738" spans="1:8" x14ac:dyDescent="0.25">
      <c r="E3738">
        <v>70</v>
      </c>
      <c r="F3738">
        <f t="shared" ref="F3738:F3746" si="91">SUM(E3738+30)</f>
        <v>100</v>
      </c>
      <c r="G3738">
        <v>100</v>
      </c>
      <c r="H3738">
        <v>110</v>
      </c>
    </row>
    <row r="3739" spans="1:8" x14ac:dyDescent="0.25">
      <c r="E3739">
        <v>270</v>
      </c>
      <c r="F3739">
        <f t="shared" si="91"/>
        <v>300</v>
      </c>
      <c r="G3739">
        <v>380</v>
      </c>
      <c r="H3739">
        <v>395</v>
      </c>
    </row>
    <row r="3740" spans="1:8" x14ac:dyDescent="0.25">
      <c r="E3740">
        <v>280</v>
      </c>
      <c r="F3740">
        <f t="shared" si="91"/>
        <v>310</v>
      </c>
      <c r="G3740">
        <v>380</v>
      </c>
      <c r="H3740">
        <v>395</v>
      </c>
    </row>
    <row r="3741" spans="1:8" x14ac:dyDescent="0.25">
      <c r="E3741">
        <v>380</v>
      </c>
      <c r="F3741">
        <f t="shared" si="91"/>
        <v>410</v>
      </c>
      <c r="G3741">
        <v>480</v>
      </c>
      <c r="H3741">
        <v>495</v>
      </c>
    </row>
    <row r="3742" spans="1:8" x14ac:dyDescent="0.25">
      <c r="E3742">
        <v>70</v>
      </c>
      <c r="F3742">
        <f t="shared" si="91"/>
        <v>100</v>
      </c>
      <c r="G3742">
        <v>100</v>
      </c>
      <c r="H3742">
        <v>110</v>
      </c>
    </row>
    <row r="3743" spans="1:8" x14ac:dyDescent="0.25">
      <c r="E3743">
        <v>380</v>
      </c>
      <c r="F3743">
        <f t="shared" si="91"/>
        <v>410</v>
      </c>
      <c r="G3743">
        <v>480</v>
      </c>
      <c r="H3743">
        <v>495</v>
      </c>
    </row>
    <row r="3744" spans="1:8" x14ac:dyDescent="0.25">
      <c r="E3744">
        <v>80</v>
      </c>
      <c r="F3744">
        <f t="shared" si="91"/>
        <v>110</v>
      </c>
      <c r="G3744">
        <v>180</v>
      </c>
      <c r="H3744">
        <v>195</v>
      </c>
    </row>
    <row r="3745" spans="5:8" x14ac:dyDescent="0.25">
      <c r="E3745">
        <v>310</v>
      </c>
      <c r="F3745">
        <f t="shared" si="91"/>
        <v>340</v>
      </c>
      <c r="G3745">
        <v>480</v>
      </c>
      <c r="H3745">
        <v>495</v>
      </c>
    </row>
    <row r="3746" spans="5:8" x14ac:dyDescent="0.25">
      <c r="E3746">
        <v>420</v>
      </c>
      <c r="F3746">
        <f t="shared" si="91"/>
        <v>450</v>
      </c>
      <c r="G3746">
        <v>650</v>
      </c>
      <c r="H3746">
        <v>675</v>
      </c>
    </row>
  </sheetData>
  <phoneticPr fontId="4" type="noConversion"/>
  <pageMargins left="0.7" right="0.7" top="0.75" bottom="0.75" header="0.3" footer="0.3"/>
  <pageSetup paperSize="17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DFC55-9427-4C1B-9CFE-1609809DCDF4}">
  <dimension ref="A1:H198"/>
  <sheetViews>
    <sheetView topLeftCell="A19" zoomScale="115" zoomScaleNormal="115" workbookViewId="0">
      <selection activeCell="C19" sqref="C19"/>
    </sheetView>
  </sheetViews>
  <sheetFormatPr defaultRowHeight="15" x14ac:dyDescent="0.25"/>
  <cols>
    <col min="1" max="1" width="12.5703125" customWidth="1"/>
    <col min="2" max="2" width="16.28515625" style="8" customWidth="1"/>
    <col min="3" max="3" width="35" customWidth="1"/>
    <col min="4" max="4" width="27.42578125" style="1" customWidth="1"/>
    <col min="5" max="5" width="14.85546875" customWidth="1"/>
    <col min="6" max="6" width="17.85546875" customWidth="1"/>
    <col min="7" max="7" width="20" customWidth="1"/>
    <col min="8" max="8" width="16.7109375" customWidth="1"/>
  </cols>
  <sheetData>
    <row r="1" spans="1:8" s="1" customFormat="1" x14ac:dyDescent="0.25">
      <c r="A1" s="1" t="s">
        <v>0</v>
      </c>
      <c r="B1" s="8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60</v>
      </c>
      <c r="H1" s="1" t="s">
        <v>5</v>
      </c>
    </row>
    <row r="2" spans="1:8" x14ac:dyDescent="0.25">
      <c r="B2" s="8" t="s">
        <v>2400</v>
      </c>
      <c r="C2" s="2" t="s">
        <v>2384</v>
      </c>
      <c r="D2" s="1" t="s">
        <v>2348</v>
      </c>
      <c r="E2">
        <v>4860</v>
      </c>
      <c r="F2">
        <f>SUM(E2+400)</f>
        <v>5260</v>
      </c>
      <c r="G2">
        <v>5800</v>
      </c>
      <c r="H2">
        <v>5975</v>
      </c>
    </row>
    <row r="3" spans="1:8" x14ac:dyDescent="0.25">
      <c r="B3" s="8" t="s">
        <v>2400</v>
      </c>
      <c r="C3" s="2" t="s">
        <v>2385</v>
      </c>
      <c r="D3" s="1" t="s">
        <v>2348</v>
      </c>
      <c r="E3">
        <v>5650</v>
      </c>
      <c r="F3">
        <f t="shared" ref="F3:F16" si="0">SUM(E3+400)</f>
        <v>6050</v>
      </c>
      <c r="G3">
        <v>7800</v>
      </c>
      <c r="H3">
        <v>7975</v>
      </c>
    </row>
    <row r="4" spans="1:8" x14ac:dyDescent="0.25">
      <c r="B4" s="8" t="s">
        <v>2401</v>
      </c>
      <c r="C4" s="2" t="s">
        <v>2386</v>
      </c>
      <c r="D4" s="1" t="s">
        <v>2348</v>
      </c>
      <c r="E4">
        <v>5320</v>
      </c>
      <c r="F4">
        <f t="shared" si="0"/>
        <v>5720</v>
      </c>
      <c r="G4">
        <v>7800</v>
      </c>
      <c r="H4">
        <v>7975</v>
      </c>
    </row>
    <row r="5" spans="1:8" x14ac:dyDescent="0.25">
      <c r="B5" s="8" t="s">
        <v>2401</v>
      </c>
      <c r="C5" s="2" t="s">
        <v>2387</v>
      </c>
      <c r="D5" s="1" t="s">
        <v>2348</v>
      </c>
      <c r="E5">
        <v>4790</v>
      </c>
      <c r="F5">
        <f t="shared" si="0"/>
        <v>5190</v>
      </c>
      <c r="G5">
        <v>6800</v>
      </c>
      <c r="H5">
        <v>6975</v>
      </c>
    </row>
    <row r="6" spans="1:8" x14ac:dyDescent="0.25">
      <c r="B6" s="8" t="s">
        <v>2402</v>
      </c>
      <c r="C6" s="2" t="s">
        <v>2388</v>
      </c>
      <c r="D6" s="1" t="s">
        <v>2348</v>
      </c>
      <c r="E6">
        <v>15060</v>
      </c>
      <c r="F6">
        <f t="shared" si="0"/>
        <v>15460</v>
      </c>
      <c r="G6">
        <v>16800</v>
      </c>
      <c r="H6">
        <v>16975</v>
      </c>
    </row>
    <row r="7" spans="1:8" x14ac:dyDescent="0.25">
      <c r="B7" s="8" t="s">
        <v>2389</v>
      </c>
      <c r="C7" s="2" t="s">
        <v>2390</v>
      </c>
      <c r="D7" s="1" t="s">
        <v>2348</v>
      </c>
      <c r="E7">
        <v>20338</v>
      </c>
      <c r="F7">
        <f t="shared" si="0"/>
        <v>20738</v>
      </c>
      <c r="G7">
        <v>24500</v>
      </c>
      <c r="H7">
        <v>24975</v>
      </c>
    </row>
    <row r="8" spans="1:8" x14ac:dyDescent="0.25">
      <c r="B8" s="8" t="s">
        <v>2405</v>
      </c>
      <c r="C8" s="2" t="s">
        <v>2391</v>
      </c>
      <c r="D8" s="1" t="s">
        <v>2348</v>
      </c>
      <c r="E8">
        <v>7350</v>
      </c>
      <c r="F8">
        <f t="shared" si="0"/>
        <v>7750</v>
      </c>
      <c r="G8">
        <v>8800</v>
      </c>
      <c r="H8">
        <v>8975</v>
      </c>
    </row>
    <row r="9" spans="1:8" x14ac:dyDescent="0.25">
      <c r="B9" s="8" t="s">
        <v>2403</v>
      </c>
      <c r="C9" s="2" t="s">
        <v>2392</v>
      </c>
      <c r="D9" s="1" t="s">
        <v>2348</v>
      </c>
      <c r="E9">
        <v>6900</v>
      </c>
      <c r="F9">
        <f t="shared" si="0"/>
        <v>7300</v>
      </c>
      <c r="G9">
        <v>8800</v>
      </c>
      <c r="H9">
        <v>8975</v>
      </c>
    </row>
    <row r="10" spans="1:8" x14ac:dyDescent="0.25">
      <c r="B10" s="8" t="s">
        <v>2393</v>
      </c>
      <c r="C10" s="2" t="s">
        <v>2394</v>
      </c>
      <c r="D10" s="1" t="s">
        <v>2348</v>
      </c>
      <c r="E10">
        <v>10238</v>
      </c>
      <c r="F10">
        <f t="shared" si="0"/>
        <v>10638</v>
      </c>
      <c r="G10">
        <v>14500</v>
      </c>
      <c r="H10">
        <v>14975</v>
      </c>
    </row>
    <row r="11" spans="1:8" x14ac:dyDescent="0.25">
      <c r="B11" s="8" t="s">
        <v>2406</v>
      </c>
      <c r="C11" s="2" t="s">
        <v>2395</v>
      </c>
      <c r="D11" s="1" t="s">
        <v>2348</v>
      </c>
      <c r="E11">
        <v>19391</v>
      </c>
      <c r="F11">
        <f t="shared" si="0"/>
        <v>19791</v>
      </c>
      <c r="G11">
        <v>24500</v>
      </c>
      <c r="H11">
        <v>24975</v>
      </c>
    </row>
    <row r="12" spans="1:8" x14ac:dyDescent="0.25">
      <c r="B12" s="8" t="s">
        <v>2406</v>
      </c>
      <c r="C12" s="2" t="s">
        <v>2396</v>
      </c>
      <c r="D12" s="1" t="s">
        <v>2348</v>
      </c>
      <c r="E12">
        <v>25515</v>
      </c>
      <c r="F12">
        <f t="shared" si="0"/>
        <v>25915</v>
      </c>
      <c r="G12">
        <v>29500</v>
      </c>
      <c r="H12">
        <v>29775</v>
      </c>
    </row>
    <row r="13" spans="1:8" x14ac:dyDescent="0.25">
      <c r="B13" s="8" t="s">
        <v>2404</v>
      </c>
      <c r="C13" s="2" t="s">
        <v>2397</v>
      </c>
      <c r="D13" s="1" t="s">
        <v>2348</v>
      </c>
      <c r="E13">
        <v>16672</v>
      </c>
      <c r="F13">
        <f t="shared" si="0"/>
        <v>17072</v>
      </c>
      <c r="G13">
        <v>19600</v>
      </c>
      <c r="H13">
        <v>19975</v>
      </c>
    </row>
    <row r="14" spans="1:8" x14ac:dyDescent="0.25">
      <c r="B14" s="8" t="s">
        <v>2398</v>
      </c>
      <c r="C14" s="2" t="s">
        <v>2399</v>
      </c>
      <c r="D14" s="1" t="s">
        <v>2348</v>
      </c>
      <c r="E14">
        <v>5720</v>
      </c>
      <c r="F14">
        <f t="shared" si="0"/>
        <v>6120</v>
      </c>
      <c r="G14">
        <v>7800</v>
      </c>
      <c r="H14">
        <v>7975</v>
      </c>
    </row>
    <row r="15" spans="1:8" x14ac:dyDescent="0.25">
      <c r="B15" s="8" t="s">
        <v>2401</v>
      </c>
      <c r="C15" s="2" t="s">
        <v>2407</v>
      </c>
      <c r="D15" s="1" t="s">
        <v>2348</v>
      </c>
      <c r="E15">
        <v>7214</v>
      </c>
      <c r="F15">
        <f t="shared" si="0"/>
        <v>7614</v>
      </c>
      <c r="G15">
        <v>9500</v>
      </c>
      <c r="H15">
        <v>9750</v>
      </c>
    </row>
    <row r="16" spans="1:8" x14ac:dyDescent="0.25">
      <c r="B16" s="8" t="s">
        <v>2404</v>
      </c>
      <c r="C16" s="2" t="s">
        <v>2589</v>
      </c>
      <c r="D16" s="1" t="s">
        <v>2348</v>
      </c>
      <c r="E16">
        <v>29950</v>
      </c>
      <c r="F16">
        <f t="shared" si="0"/>
        <v>30350</v>
      </c>
      <c r="G16">
        <v>35000</v>
      </c>
      <c r="H16">
        <v>36975</v>
      </c>
    </row>
    <row r="20" spans="2:8" ht="15" customHeight="1" x14ac:dyDescent="0.25">
      <c r="B20" s="8" t="s">
        <v>2577</v>
      </c>
      <c r="C20" s="2" t="s">
        <v>2569</v>
      </c>
      <c r="D20" s="1" t="s">
        <v>2580</v>
      </c>
      <c r="E20">
        <v>15745</v>
      </c>
      <c r="F20">
        <f>SUM(E20+500)</f>
        <v>16245</v>
      </c>
      <c r="G20">
        <v>19600</v>
      </c>
      <c r="H20">
        <v>19975</v>
      </c>
    </row>
    <row r="21" spans="2:8" ht="15" customHeight="1" x14ac:dyDescent="0.25">
      <c r="B21" s="8" t="s">
        <v>2577</v>
      </c>
      <c r="C21" s="2" t="s">
        <v>2570</v>
      </c>
      <c r="D21" s="1" t="s">
        <v>2580</v>
      </c>
      <c r="E21">
        <v>12750</v>
      </c>
      <c r="F21">
        <f t="shared" ref="F21:F23" si="1">SUM(E21+500)</f>
        <v>13250</v>
      </c>
      <c r="G21">
        <v>14600</v>
      </c>
      <c r="H21">
        <v>14975</v>
      </c>
    </row>
    <row r="22" spans="2:8" x14ac:dyDescent="0.25">
      <c r="B22" s="8" t="s">
        <v>2405</v>
      </c>
      <c r="C22" s="2" t="s">
        <v>2571</v>
      </c>
      <c r="D22" s="1" t="s">
        <v>2580</v>
      </c>
      <c r="E22">
        <v>11400</v>
      </c>
      <c r="F22">
        <f t="shared" si="1"/>
        <v>11900</v>
      </c>
      <c r="G22">
        <v>14500</v>
      </c>
      <c r="H22">
        <v>14750</v>
      </c>
    </row>
    <row r="23" spans="2:8" x14ac:dyDescent="0.25">
      <c r="B23" s="8" t="s">
        <v>2405</v>
      </c>
      <c r="C23" s="2" t="s">
        <v>2572</v>
      </c>
      <c r="D23" s="1" t="s">
        <v>2580</v>
      </c>
      <c r="E23">
        <v>16770</v>
      </c>
      <c r="F23">
        <f t="shared" si="1"/>
        <v>17270</v>
      </c>
      <c r="G23">
        <v>19600</v>
      </c>
      <c r="H23">
        <v>19975</v>
      </c>
    </row>
    <row r="24" spans="2:8" x14ac:dyDescent="0.25">
      <c r="B24" s="8" t="s">
        <v>2588</v>
      </c>
      <c r="C24" s="2" t="s">
        <v>2587</v>
      </c>
      <c r="D24" s="1" t="s">
        <v>2580</v>
      </c>
    </row>
    <row r="25" spans="2:8" x14ac:dyDescent="0.25">
      <c r="B25" s="8" t="s">
        <v>2590</v>
      </c>
      <c r="C25" s="2" t="s">
        <v>2591</v>
      </c>
      <c r="D25" s="1" t="s">
        <v>2580</v>
      </c>
    </row>
    <row r="26" spans="2:8" x14ac:dyDescent="0.25">
      <c r="B26" s="8" t="s">
        <v>2593</v>
      </c>
      <c r="C26" s="2" t="s">
        <v>2592</v>
      </c>
      <c r="D26" s="1" t="s">
        <v>2580</v>
      </c>
    </row>
    <row r="27" spans="2:8" x14ac:dyDescent="0.25">
      <c r="B27" s="2" t="s">
        <v>2578</v>
      </c>
      <c r="C27" s="2" t="s">
        <v>2581</v>
      </c>
      <c r="D27" s="1" t="s">
        <v>2579</v>
      </c>
      <c r="E27">
        <v>4037</v>
      </c>
      <c r="F27">
        <f>SUM(E27+500)</f>
        <v>4537</v>
      </c>
      <c r="G27">
        <v>5800</v>
      </c>
      <c r="H27">
        <v>5975</v>
      </c>
    </row>
    <row r="28" spans="2:8" x14ac:dyDescent="0.25">
      <c r="B28" s="8" t="s">
        <v>2400</v>
      </c>
      <c r="C28" s="2" t="s">
        <v>2573</v>
      </c>
      <c r="D28" s="1" t="s">
        <v>2579</v>
      </c>
      <c r="E28">
        <v>4620</v>
      </c>
      <c r="F28">
        <f>SUM(E28+500)</f>
        <v>5120</v>
      </c>
      <c r="G28">
        <v>5800</v>
      </c>
      <c r="H28">
        <v>5975</v>
      </c>
    </row>
    <row r="29" spans="2:8" x14ac:dyDescent="0.25">
      <c r="B29" s="8" t="s">
        <v>2400</v>
      </c>
      <c r="C29" s="2" t="s">
        <v>2574</v>
      </c>
      <c r="D29" s="1" t="s">
        <v>2579</v>
      </c>
      <c r="E29">
        <v>5823</v>
      </c>
      <c r="F29">
        <f>SUM(E29+500)</f>
        <v>6323</v>
      </c>
      <c r="G29">
        <v>6800</v>
      </c>
      <c r="H29">
        <v>6975</v>
      </c>
    </row>
    <row r="30" spans="2:8" x14ac:dyDescent="0.25">
      <c r="B30" s="8" t="s">
        <v>2401</v>
      </c>
      <c r="C30" s="2" t="s">
        <v>2575</v>
      </c>
      <c r="D30" s="1" t="s">
        <v>2579</v>
      </c>
    </row>
    <row r="31" spans="2:8" x14ac:dyDescent="0.25">
      <c r="B31" s="8" t="s">
        <v>2401</v>
      </c>
      <c r="C31" s="2" t="s">
        <v>2576</v>
      </c>
      <c r="D31" s="1" t="s">
        <v>2579</v>
      </c>
      <c r="E31">
        <v>7200</v>
      </c>
      <c r="F31">
        <v>7800</v>
      </c>
      <c r="G31">
        <v>8600</v>
      </c>
      <c r="H31">
        <v>8995</v>
      </c>
    </row>
    <row r="32" spans="2:8" x14ac:dyDescent="0.25">
      <c r="B32" s="8" t="s">
        <v>2398</v>
      </c>
      <c r="C32" s="2" t="s">
        <v>4023</v>
      </c>
      <c r="D32" s="1" t="s">
        <v>4024</v>
      </c>
      <c r="E32">
        <v>5300</v>
      </c>
      <c r="F32">
        <v>6500</v>
      </c>
      <c r="G32">
        <v>7800</v>
      </c>
      <c r="H32">
        <v>7975</v>
      </c>
    </row>
    <row r="33" spans="2:8" x14ac:dyDescent="0.25">
      <c r="B33" s="8" t="s">
        <v>2398</v>
      </c>
      <c r="C33" s="2" t="s">
        <v>4025</v>
      </c>
      <c r="D33" s="1" t="s">
        <v>4026</v>
      </c>
      <c r="E33">
        <v>7290</v>
      </c>
      <c r="F33">
        <v>8000</v>
      </c>
      <c r="G33">
        <v>8500</v>
      </c>
      <c r="H33">
        <v>9720</v>
      </c>
    </row>
    <row r="46" spans="2:8" x14ac:dyDescent="0.25">
      <c r="B46"/>
      <c r="C46" s="2" t="s">
        <v>2582</v>
      </c>
      <c r="E46">
        <v>22520</v>
      </c>
      <c r="F46">
        <v>24500</v>
      </c>
      <c r="G46">
        <v>26000</v>
      </c>
      <c r="H46">
        <v>26750</v>
      </c>
    </row>
    <row r="47" spans="2:8" x14ac:dyDescent="0.25">
      <c r="B47"/>
      <c r="C47" s="2" t="s">
        <v>2583</v>
      </c>
    </row>
    <row r="48" spans="2:8" x14ac:dyDescent="0.25">
      <c r="B48"/>
      <c r="C48" s="2" t="s">
        <v>3896</v>
      </c>
      <c r="E48">
        <v>14985</v>
      </c>
      <c r="F48">
        <v>15500</v>
      </c>
      <c r="G48">
        <v>16800</v>
      </c>
      <c r="H48">
        <v>16950</v>
      </c>
    </row>
    <row r="49" spans="2:4" x14ac:dyDescent="0.25">
      <c r="B49"/>
      <c r="C49" s="2" t="s">
        <v>2584</v>
      </c>
    </row>
    <row r="50" spans="2:4" x14ac:dyDescent="0.25">
      <c r="B50"/>
      <c r="C50" s="2" t="s">
        <v>2585</v>
      </c>
    </row>
    <row r="51" spans="2:4" x14ac:dyDescent="0.25">
      <c r="B51"/>
      <c r="C51" s="2" t="s">
        <v>2586</v>
      </c>
    </row>
    <row r="52" spans="2:4" x14ac:dyDescent="0.25">
      <c r="B52"/>
    </row>
    <row r="53" spans="2:4" x14ac:dyDescent="0.25">
      <c r="B53"/>
      <c r="C53" s="2"/>
    </row>
    <row r="54" spans="2:4" x14ac:dyDescent="0.25">
      <c r="C54" s="2" t="s">
        <v>3897</v>
      </c>
    </row>
    <row r="55" spans="2:4" x14ac:dyDescent="0.25">
      <c r="C55" s="2" t="s">
        <v>3898</v>
      </c>
    </row>
    <row r="56" spans="2:4" x14ac:dyDescent="0.25">
      <c r="C56" s="2" t="s">
        <v>3899</v>
      </c>
      <c r="D56" s="2"/>
    </row>
    <row r="57" spans="2:4" x14ac:dyDescent="0.25">
      <c r="C57" s="2" t="s">
        <v>3900</v>
      </c>
    </row>
    <row r="58" spans="2:4" x14ac:dyDescent="0.25">
      <c r="B58"/>
      <c r="C58" s="2" t="s">
        <v>3901</v>
      </c>
    </row>
    <row r="59" spans="2:4" x14ac:dyDescent="0.25">
      <c r="B59"/>
      <c r="C59" s="2" t="s">
        <v>3902</v>
      </c>
    </row>
    <row r="60" spans="2:4" x14ac:dyDescent="0.25">
      <c r="B60"/>
      <c r="C60" s="2"/>
    </row>
    <row r="61" spans="2:4" x14ac:dyDescent="0.25">
      <c r="B61"/>
      <c r="C61" s="2"/>
    </row>
    <row r="62" spans="2:4" x14ac:dyDescent="0.25">
      <c r="B62"/>
      <c r="C62" s="2"/>
    </row>
    <row r="63" spans="2:4" x14ac:dyDescent="0.25">
      <c r="B63"/>
      <c r="C63" s="2"/>
    </row>
    <row r="64" spans="2:4" x14ac:dyDescent="0.25">
      <c r="B64"/>
      <c r="C64" s="2"/>
    </row>
    <row r="65" spans="2:3" x14ac:dyDescent="0.25">
      <c r="B65"/>
      <c r="C65" s="2"/>
    </row>
    <row r="66" spans="2:3" x14ac:dyDescent="0.25">
      <c r="B66"/>
      <c r="C66" s="2"/>
    </row>
    <row r="67" spans="2:3" x14ac:dyDescent="0.25">
      <c r="B67"/>
      <c r="C67" s="2"/>
    </row>
    <row r="68" spans="2:3" x14ac:dyDescent="0.25">
      <c r="B68"/>
      <c r="C68" s="2"/>
    </row>
    <row r="69" spans="2:3" x14ac:dyDescent="0.25">
      <c r="B69"/>
      <c r="C69" s="2"/>
    </row>
    <row r="70" spans="2:3" x14ac:dyDescent="0.25">
      <c r="B70"/>
      <c r="C70" s="2"/>
    </row>
    <row r="71" spans="2:3" x14ac:dyDescent="0.25">
      <c r="B71"/>
      <c r="C71" s="2"/>
    </row>
    <row r="72" spans="2:3" x14ac:dyDescent="0.25">
      <c r="B72"/>
      <c r="C72" s="2"/>
    </row>
    <row r="73" spans="2:3" x14ac:dyDescent="0.25">
      <c r="B73"/>
      <c r="C73" s="2"/>
    </row>
    <row r="74" spans="2:3" x14ac:dyDescent="0.25">
      <c r="B74"/>
      <c r="C74" s="2"/>
    </row>
    <row r="75" spans="2:3" x14ac:dyDescent="0.25">
      <c r="B75"/>
      <c r="C75" s="2"/>
    </row>
    <row r="76" spans="2:3" x14ac:dyDescent="0.25">
      <c r="B76"/>
      <c r="C76" s="2"/>
    </row>
    <row r="77" spans="2:3" x14ac:dyDescent="0.25">
      <c r="B77"/>
      <c r="C77" s="2"/>
    </row>
    <row r="78" spans="2:3" x14ac:dyDescent="0.25">
      <c r="B78"/>
      <c r="C78" s="2"/>
    </row>
    <row r="79" spans="2:3" x14ac:dyDescent="0.25">
      <c r="B79"/>
      <c r="C79" s="2"/>
    </row>
    <row r="80" spans="2:3" x14ac:dyDescent="0.25">
      <c r="B80"/>
      <c r="C80" s="2"/>
    </row>
    <row r="81" spans="2:3" x14ac:dyDescent="0.25">
      <c r="B81"/>
      <c r="C81" s="2"/>
    </row>
    <row r="82" spans="2:3" x14ac:dyDescent="0.25">
      <c r="B82"/>
      <c r="C82" s="1"/>
    </row>
    <row r="83" spans="2:3" x14ac:dyDescent="0.25">
      <c r="B83"/>
      <c r="C83" s="2"/>
    </row>
    <row r="84" spans="2:3" x14ac:dyDescent="0.25">
      <c r="B84"/>
      <c r="C84" s="2"/>
    </row>
    <row r="85" spans="2:3" x14ac:dyDescent="0.25">
      <c r="B85"/>
      <c r="C85" s="2"/>
    </row>
    <row r="86" spans="2:3" x14ac:dyDescent="0.25">
      <c r="B86"/>
      <c r="C86" s="2"/>
    </row>
    <row r="87" spans="2:3" x14ac:dyDescent="0.25">
      <c r="B87"/>
      <c r="C87" s="2"/>
    </row>
    <row r="88" spans="2:3" x14ac:dyDescent="0.25">
      <c r="B88"/>
      <c r="C88" s="2"/>
    </row>
    <row r="89" spans="2:3" x14ac:dyDescent="0.25">
      <c r="B89"/>
      <c r="C89" s="2"/>
    </row>
    <row r="90" spans="2:3" x14ac:dyDescent="0.25">
      <c r="B90"/>
      <c r="C90" s="2"/>
    </row>
    <row r="91" spans="2:3" x14ac:dyDescent="0.25">
      <c r="B91"/>
      <c r="C91" s="2"/>
    </row>
    <row r="92" spans="2:3" x14ac:dyDescent="0.25">
      <c r="B92"/>
      <c r="C92" s="2"/>
    </row>
    <row r="93" spans="2:3" x14ac:dyDescent="0.25">
      <c r="B93"/>
      <c r="C93" s="2"/>
    </row>
    <row r="94" spans="2:3" x14ac:dyDescent="0.25">
      <c r="B94"/>
      <c r="C94" s="2"/>
    </row>
    <row r="95" spans="2:3" x14ac:dyDescent="0.25">
      <c r="B95"/>
      <c r="C95" s="2"/>
    </row>
    <row r="96" spans="2:3" x14ac:dyDescent="0.25">
      <c r="B96"/>
      <c r="C96" s="2"/>
    </row>
    <row r="97" spans="2:3" x14ac:dyDescent="0.25">
      <c r="B97"/>
      <c r="C97" s="2"/>
    </row>
    <row r="98" spans="2:3" x14ac:dyDescent="0.25">
      <c r="B98"/>
      <c r="C98" s="2"/>
    </row>
    <row r="99" spans="2:3" x14ac:dyDescent="0.25">
      <c r="B99"/>
      <c r="C99" s="2"/>
    </row>
    <row r="100" spans="2:3" x14ac:dyDescent="0.25">
      <c r="B100"/>
      <c r="C100" s="2"/>
    </row>
    <row r="101" spans="2:3" x14ac:dyDescent="0.25">
      <c r="B101"/>
      <c r="C101" s="2"/>
    </row>
    <row r="102" spans="2:3" x14ac:dyDescent="0.25">
      <c r="B102"/>
      <c r="C102" s="2"/>
    </row>
    <row r="103" spans="2:3" x14ac:dyDescent="0.25">
      <c r="B103"/>
      <c r="C103" s="2"/>
    </row>
    <row r="104" spans="2:3" x14ac:dyDescent="0.25">
      <c r="B104"/>
      <c r="C104" s="2"/>
    </row>
    <row r="105" spans="2:3" x14ac:dyDescent="0.25">
      <c r="B105"/>
      <c r="C105" s="2"/>
    </row>
    <row r="106" spans="2:3" x14ac:dyDescent="0.25">
      <c r="B106"/>
      <c r="C106" s="2"/>
    </row>
    <row r="107" spans="2:3" x14ac:dyDescent="0.25">
      <c r="B107"/>
      <c r="C107" s="2"/>
    </row>
    <row r="108" spans="2:3" x14ac:dyDescent="0.25">
      <c r="B108"/>
      <c r="C108" s="2"/>
    </row>
    <row r="109" spans="2:3" x14ac:dyDescent="0.25">
      <c r="B109"/>
      <c r="C109" s="2"/>
    </row>
    <row r="110" spans="2:3" x14ac:dyDescent="0.25">
      <c r="B110"/>
      <c r="C110" s="2"/>
    </row>
    <row r="111" spans="2:3" x14ac:dyDescent="0.25">
      <c r="B111"/>
      <c r="C111" s="2"/>
    </row>
    <row r="112" spans="2:3" x14ac:dyDescent="0.25">
      <c r="B112"/>
      <c r="C112" s="2"/>
    </row>
    <row r="113" spans="2:3" x14ac:dyDescent="0.25">
      <c r="B113"/>
      <c r="C113" s="2"/>
    </row>
    <row r="114" spans="2:3" x14ac:dyDescent="0.25">
      <c r="B114"/>
      <c r="C114" s="2"/>
    </row>
    <row r="115" spans="2:3" x14ac:dyDescent="0.25">
      <c r="B115"/>
      <c r="C115" s="2"/>
    </row>
    <row r="116" spans="2:3" x14ac:dyDescent="0.25">
      <c r="B116"/>
      <c r="C116" s="2"/>
    </row>
    <row r="117" spans="2:3" x14ac:dyDescent="0.25">
      <c r="B117"/>
      <c r="C117" s="2"/>
    </row>
    <row r="118" spans="2:3" x14ac:dyDescent="0.25">
      <c r="B118"/>
      <c r="C118" s="2"/>
    </row>
    <row r="119" spans="2:3" x14ac:dyDescent="0.25">
      <c r="B119"/>
      <c r="C119" s="2"/>
    </row>
    <row r="120" spans="2:3" x14ac:dyDescent="0.25">
      <c r="B120"/>
      <c r="C120" s="2"/>
    </row>
    <row r="121" spans="2:3" x14ac:dyDescent="0.25">
      <c r="B121"/>
      <c r="C121" s="2"/>
    </row>
    <row r="122" spans="2:3" x14ac:dyDescent="0.25">
      <c r="B122"/>
      <c r="C122" s="2"/>
    </row>
    <row r="123" spans="2:3" x14ac:dyDescent="0.25">
      <c r="B123"/>
      <c r="C123" s="2"/>
    </row>
    <row r="124" spans="2:3" x14ac:dyDescent="0.25">
      <c r="B124"/>
      <c r="C124" s="2"/>
    </row>
    <row r="125" spans="2:3" x14ac:dyDescent="0.25">
      <c r="B125"/>
      <c r="C125" s="2"/>
    </row>
    <row r="126" spans="2:3" x14ac:dyDescent="0.25">
      <c r="B126"/>
      <c r="C126" s="2"/>
    </row>
    <row r="127" spans="2:3" x14ac:dyDescent="0.25">
      <c r="B127"/>
      <c r="C127" s="2"/>
    </row>
    <row r="128" spans="2:3" x14ac:dyDescent="0.25">
      <c r="B128"/>
      <c r="C128" s="2"/>
    </row>
    <row r="129" spans="1:8" x14ac:dyDescent="0.25">
      <c r="B129"/>
      <c r="C129" s="2"/>
    </row>
    <row r="130" spans="1:8" x14ac:dyDescent="0.25">
      <c r="B130"/>
      <c r="C130" s="2"/>
    </row>
    <row r="131" spans="1:8" x14ac:dyDescent="0.25">
      <c r="B131"/>
      <c r="C131" s="2"/>
    </row>
    <row r="132" spans="1:8" x14ac:dyDescent="0.25">
      <c r="B132"/>
      <c r="C132" s="2"/>
    </row>
    <row r="133" spans="1:8" x14ac:dyDescent="0.25">
      <c r="B133"/>
      <c r="C133" s="2"/>
    </row>
    <row r="134" spans="1:8" x14ac:dyDescent="0.25">
      <c r="B134"/>
      <c r="C134" s="2"/>
    </row>
    <row r="135" spans="1:8" x14ac:dyDescent="0.25">
      <c r="B135"/>
      <c r="C135" s="2"/>
    </row>
    <row r="136" spans="1:8" x14ac:dyDescent="0.25">
      <c r="B136"/>
      <c r="C136" s="2"/>
    </row>
    <row r="137" spans="1:8" x14ac:dyDescent="0.25">
      <c r="B137"/>
      <c r="C137" s="2"/>
    </row>
    <row r="138" spans="1:8" x14ac:dyDescent="0.25">
      <c r="B138"/>
      <c r="C138" s="2"/>
    </row>
    <row r="139" spans="1:8" x14ac:dyDescent="0.25">
      <c r="B139"/>
      <c r="C139" s="2"/>
    </row>
    <row r="140" spans="1:8" x14ac:dyDescent="0.25">
      <c r="B140"/>
      <c r="C140" s="2"/>
    </row>
    <row r="141" spans="1:8" x14ac:dyDescent="0.25">
      <c r="B141"/>
      <c r="C141" s="2"/>
    </row>
    <row r="142" spans="1:8" x14ac:dyDescent="0.25">
      <c r="B142"/>
      <c r="C142" s="2"/>
    </row>
    <row r="143" spans="1:8" x14ac:dyDescent="0.25">
      <c r="A143" s="2"/>
      <c r="B143"/>
      <c r="C143" s="2"/>
      <c r="E143" s="2"/>
      <c r="F143" s="2"/>
      <c r="G143" s="2"/>
      <c r="H143" s="2"/>
    </row>
    <row r="144" spans="1:8" x14ac:dyDescent="0.25">
      <c r="B144"/>
      <c r="C144" s="1"/>
    </row>
    <row r="145" spans="2:3" x14ac:dyDescent="0.25">
      <c r="B145"/>
      <c r="C145" s="2"/>
    </row>
    <row r="146" spans="2:3" x14ac:dyDescent="0.25">
      <c r="B146"/>
      <c r="C146" s="2"/>
    </row>
    <row r="147" spans="2:3" x14ac:dyDescent="0.25">
      <c r="B147"/>
      <c r="C147" s="2"/>
    </row>
    <row r="148" spans="2:3" x14ac:dyDescent="0.25">
      <c r="B148"/>
      <c r="C148" s="2"/>
    </row>
    <row r="149" spans="2:3" x14ac:dyDescent="0.25">
      <c r="B149"/>
      <c r="C149" s="2"/>
    </row>
    <row r="150" spans="2:3" x14ac:dyDescent="0.25">
      <c r="B150"/>
      <c r="C150" s="2"/>
    </row>
    <row r="151" spans="2:3" x14ac:dyDescent="0.25">
      <c r="B151"/>
      <c r="C151" s="2"/>
    </row>
    <row r="152" spans="2:3" x14ac:dyDescent="0.25">
      <c r="B152"/>
      <c r="C152" s="2"/>
    </row>
    <row r="153" spans="2:3" x14ac:dyDescent="0.25">
      <c r="B153"/>
      <c r="C153" s="2"/>
    </row>
    <row r="154" spans="2:3" x14ac:dyDescent="0.25">
      <c r="B154"/>
      <c r="C154" s="2"/>
    </row>
    <row r="155" spans="2:3" x14ac:dyDescent="0.25">
      <c r="B155"/>
      <c r="C155" s="2"/>
    </row>
    <row r="156" spans="2:3" x14ac:dyDescent="0.25">
      <c r="B156"/>
      <c r="C156" s="2"/>
    </row>
    <row r="157" spans="2:3" x14ac:dyDescent="0.25">
      <c r="B157"/>
      <c r="C157" s="2"/>
    </row>
    <row r="158" spans="2:3" x14ac:dyDescent="0.25">
      <c r="B158"/>
      <c r="C158" s="2"/>
    </row>
    <row r="159" spans="2:3" x14ac:dyDescent="0.25">
      <c r="B159"/>
      <c r="C159" s="2"/>
    </row>
    <row r="160" spans="2:3" x14ac:dyDescent="0.25">
      <c r="B160"/>
      <c r="C160" s="2"/>
    </row>
    <row r="161" spans="2:3" x14ac:dyDescent="0.25">
      <c r="B161"/>
      <c r="C161" s="2"/>
    </row>
    <row r="162" spans="2:3" x14ac:dyDescent="0.25">
      <c r="B162"/>
      <c r="C162" s="2"/>
    </row>
    <row r="163" spans="2:3" x14ac:dyDescent="0.25">
      <c r="B163"/>
      <c r="C163" s="2"/>
    </row>
    <row r="164" spans="2:3" x14ac:dyDescent="0.25">
      <c r="B164"/>
      <c r="C164" s="2"/>
    </row>
    <row r="165" spans="2:3" x14ac:dyDescent="0.25">
      <c r="B165"/>
      <c r="C165" s="2"/>
    </row>
    <row r="166" spans="2:3" x14ac:dyDescent="0.25">
      <c r="B166"/>
      <c r="C166" s="2"/>
    </row>
    <row r="167" spans="2:3" x14ac:dyDescent="0.25">
      <c r="B167"/>
      <c r="C167" s="2"/>
    </row>
    <row r="168" spans="2:3" x14ac:dyDescent="0.25">
      <c r="B168"/>
      <c r="C168" s="2"/>
    </row>
    <row r="169" spans="2:3" x14ac:dyDescent="0.25">
      <c r="B169"/>
      <c r="C169" s="2"/>
    </row>
    <row r="170" spans="2:3" x14ac:dyDescent="0.25">
      <c r="B170"/>
      <c r="C170" s="2"/>
    </row>
    <row r="171" spans="2:3" x14ac:dyDescent="0.25">
      <c r="B171"/>
      <c r="C171" s="2"/>
    </row>
    <row r="172" spans="2:3" x14ac:dyDescent="0.25">
      <c r="B172"/>
      <c r="C172" s="1"/>
    </row>
    <row r="173" spans="2:3" x14ac:dyDescent="0.25">
      <c r="B173"/>
      <c r="C173" s="2"/>
    </row>
    <row r="174" spans="2:3" x14ac:dyDescent="0.25">
      <c r="B174"/>
      <c r="C174" s="2"/>
    </row>
    <row r="175" spans="2:3" x14ac:dyDescent="0.25">
      <c r="B175"/>
      <c r="C175" s="2"/>
    </row>
    <row r="176" spans="2:3" x14ac:dyDescent="0.25">
      <c r="B176"/>
      <c r="C176" s="2"/>
    </row>
    <row r="177" spans="2:3" x14ac:dyDescent="0.25">
      <c r="B177"/>
      <c r="C177" s="2"/>
    </row>
    <row r="178" spans="2:3" x14ac:dyDescent="0.25">
      <c r="B178"/>
      <c r="C178" s="2"/>
    </row>
    <row r="179" spans="2:3" x14ac:dyDescent="0.25">
      <c r="B179"/>
      <c r="C179" s="2"/>
    </row>
    <row r="180" spans="2:3" x14ac:dyDescent="0.25">
      <c r="B180"/>
      <c r="C180" s="2"/>
    </row>
    <row r="181" spans="2:3" x14ac:dyDescent="0.25">
      <c r="B181"/>
      <c r="C181" s="2"/>
    </row>
    <row r="182" spans="2:3" x14ac:dyDescent="0.25">
      <c r="B182"/>
      <c r="C182" s="2"/>
    </row>
    <row r="183" spans="2:3" x14ac:dyDescent="0.25">
      <c r="B183"/>
      <c r="C183" s="2"/>
    </row>
    <row r="184" spans="2:3" x14ac:dyDescent="0.25">
      <c r="B184"/>
      <c r="C184" s="2"/>
    </row>
    <row r="185" spans="2:3" x14ac:dyDescent="0.25">
      <c r="B185"/>
      <c r="C185" s="2"/>
    </row>
    <row r="186" spans="2:3" x14ac:dyDescent="0.25">
      <c r="B186"/>
      <c r="C186" s="2"/>
    </row>
    <row r="187" spans="2:3" x14ac:dyDescent="0.25">
      <c r="B187"/>
      <c r="C187" s="2"/>
    </row>
    <row r="188" spans="2:3" x14ac:dyDescent="0.25">
      <c r="B188"/>
      <c r="C188" s="2"/>
    </row>
    <row r="189" spans="2:3" x14ac:dyDescent="0.25">
      <c r="B189"/>
      <c r="C189" s="2"/>
    </row>
    <row r="190" spans="2:3" x14ac:dyDescent="0.25">
      <c r="B190"/>
      <c r="C190" s="2"/>
    </row>
    <row r="191" spans="2:3" x14ac:dyDescent="0.25">
      <c r="B191"/>
      <c r="C191" s="2"/>
    </row>
    <row r="192" spans="2:3" x14ac:dyDescent="0.25">
      <c r="B192"/>
      <c r="C192" s="2"/>
    </row>
    <row r="193" spans="2:3" x14ac:dyDescent="0.25">
      <c r="B193"/>
      <c r="C193" s="2"/>
    </row>
    <row r="194" spans="2:3" x14ac:dyDescent="0.25">
      <c r="B194"/>
      <c r="C194" s="2"/>
    </row>
    <row r="195" spans="2:3" x14ac:dyDescent="0.25">
      <c r="B195"/>
      <c r="C195" s="2"/>
    </row>
    <row r="196" spans="2:3" x14ac:dyDescent="0.25">
      <c r="B196"/>
      <c r="C196" s="2"/>
    </row>
    <row r="197" spans="2:3" x14ac:dyDescent="0.25">
      <c r="B197"/>
      <c r="C197" s="2"/>
    </row>
    <row r="198" spans="2:3" x14ac:dyDescent="0.25">
      <c r="B198"/>
      <c r="C198" s="2"/>
    </row>
  </sheetData>
  <phoneticPr fontId="4" type="noConversion"/>
  <pageMargins left="0.7" right="0.7" top="0.75" bottom="0.75" header="0.3" footer="0.3"/>
  <pageSetup paperSize="256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14E0D-CD70-49B5-92E7-2022D6B6EA13}">
  <dimension ref="A1:K350"/>
  <sheetViews>
    <sheetView topLeftCell="A171" zoomScaleNormal="100" workbookViewId="0">
      <selection activeCell="F168" sqref="F168"/>
    </sheetView>
  </sheetViews>
  <sheetFormatPr defaultRowHeight="15" x14ac:dyDescent="0.25"/>
  <cols>
    <col min="1" max="1" width="12.7109375" customWidth="1"/>
    <col min="2" max="2" width="19.5703125" style="1" customWidth="1"/>
    <col min="3" max="3" width="38.140625" style="2" customWidth="1"/>
    <col min="4" max="4" width="27" style="1" customWidth="1"/>
    <col min="5" max="5" width="19.42578125" customWidth="1"/>
    <col min="6" max="6" width="18.140625" customWidth="1"/>
    <col min="7" max="7" width="16.85546875" customWidth="1"/>
    <col min="8" max="8" width="15" customWidth="1"/>
  </cols>
  <sheetData>
    <row r="1" spans="1:8" s="1" customFormat="1" x14ac:dyDescent="0.25">
      <c r="A1" s="1" t="s">
        <v>0</v>
      </c>
      <c r="B1" s="8" t="s">
        <v>1</v>
      </c>
      <c r="C1" s="2" t="s">
        <v>2</v>
      </c>
      <c r="D1" s="1" t="s">
        <v>6</v>
      </c>
      <c r="E1" s="1" t="s">
        <v>3</v>
      </c>
      <c r="F1" s="1" t="s">
        <v>4</v>
      </c>
      <c r="G1" s="1" t="s">
        <v>60</v>
      </c>
      <c r="H1" s="1" t="s">
        <v>5</v>
      </c>
    </row>
    <row r="126" spans="3:3" x14ac:dyDescent="0.25">
      <c r="C126" s="8"/>
    </row>
    <row r="128" spans="3:3" x14ac:dyDescent="0.25">
      <c r="C128" s="8"/>
    </row>
    <row r="130" spans="3:4" x14ac:dyDescent="0.25">
      <c r="C130" s="8"/>
    </row>
    <row r="131" spans="3:4" x14ac:dyDescent="0.25">
      <c r="C131"/>
      <c r="D131"/>
    </row>
    <row r="132" spans="3:4" x14ac:dyDescent="0.25">
      <c r="C132"/>
      <c r="D132"/>
    </row>
    <row r="154" spans="3:4" x14ac:dyDescent="0.25">
      <c r="C154" s="2" t="s">
        <v>3387</v>
      </c>
      <c r="D154" s="1" t="s">
        <v>3374</v>
      </c>
    </row>
    <row r="155" spans="3:4" x14ac:dyDescent="0.25">
      <c r="C155" s="2" t="s">
        <v>3254</v>
      </c>
      <c r="D155" s="1" t="s">
        <v>3374</v>
      </c>
    </row>
    <row r="156" spans="3:4" x14ac:dyDescent="0.25">
      <c r="C156" s="2" t="s">
        <v>3255</v>
      </c>
      <c r="D156" s="1" t="s">
        <v>3374</v>
      </c>
    </row>
    <row r="157" spans="3:4" x14ac:dyDescent="0.25">
      <c r="C157" s="2" t="s">
        <v>3256</v>
      </c>
      <c r="D157" s="1" t="s">
        <v>3374</v>
      </c>
    </row>
    <row r="158" spans="3:4" x14ac:dyDescent="0.25">
      <c r="C158" s="2" t="s">
        <v>3257</v>
      </c>
      <c r="D158" s="1" t="s">
        <v>3374</v>
      </c>
    </row>
    <row r="159" spans="3:4" x14ac:dyDescent="0.25">
      <c r="C159" s="2" t="s">
        <v>3258</v>
      </c>
      <c r="D159" s="1" t="s">
        <v>3374</v>
      </c>
    </row>
    <row r="160" spans="3:4" x14ac:dyDescent="0.25">
      <c r="C160" s="2" t="s">
        <v>3259</v>
      </c>
      <c r="D160" s="1" t="s">
        <v>3374</v>
      </c>
    </row>
    <row r="161" spans="2:4" x14ac:dyDescent="0.25">
      <c r="C161" s="2" t="s">
        <v>3260</v>
      </c>
      <c r="D161" s="1" t="s">
        <v>3374</v>
      </c>
    </row>
    <row r="162" spans="2:4" x14ac:dyDescent="0.25">
      <c r="C162" s="2" t="s">
        <v>3261</v>
      </c>
      <c r="D162" s="1" t="s">
        <v>3374</v>
      </c>
    </row>
    <row r="163" spans="2:4" x14ac:dyDescent="0.25">
      <c r="C163" s="2" t="s">
        <v>3262</v>
      </c>
      <c r="D163" s="1" t="s">
        <v>3374</v>
      </c>
    </row>
    <row r="164" spans="2:4" x14ac:dyDescent="0.25">
      <c r="B164" s="1" t="s">
        <v>3015</v>
      </c>
      <c r="C164" s="2" t="s">
        <v>3263</v>
      </c>
      <c r="D164" s="1" t="s">
        <v>3374</v>
      </c>
    </row>
    <row r="165" spans="2:4" x14ac:dyDescent="0.25">
      <c r="C165" s="2" t="s">
        <v>3264</v>
      </c>
      <c r="D165" s="1" t="s">
        <v>3374</v>
      </c>
    </row>
    <row r="166" spans="2:4" x14ac:dyDescent="0.25">
      <c r="C166" s="2" t="s">
        <v>3265</v>
      </c>
      <c r="D166" s="1" t="s">
        <v>3374</v>
      </c>
    </row>
    <row r="167" spans="2:4" x14ac:dyDescent="0.25">
      <c r="C167" s="2" t="s">
        <v>3388</v>
      </c>
      <c r="D167" s="1" t="s">
        <v>3374</v>
      </c>
    </row>
    <row r="168" spans="2:4" x14ac:dyDescent="0.25">
      <c r="C168" s="2" t="s">
        <v>3266</v>
      </c>
      <c r="D168" s="1" t="s">
        <v>3374</v>
      </c>
    </row>
    <row r="169" spans="2:4" x14ac:dyDescent="0.25">
      <c r="C169" s="2" t="s">
        <v>3267</v>
      </c>
      <c r="D169" s="1" t="s">
        <v>3374</v>
      </c>
    </row>
    <row r="170" spans="2:4" x14ac:dyDescent="0.25">
      <c r="C170" s="2" t="s">
        <v>3268</v>
      </c>
      <c r="D170" s="1" t="s">
        <v>3374</v>
      </c>
    </row>
    <row r="171" spans="2:4" x14ac:dyDescent="0.25">
      <c r="C171" s="2" t="s">
        <v>3269</v>
      </c>
      <c r="D171" s="1" t="s">
        <v>3374</v>
      </c>
    </row>
    <row r="172" spans="2:4" x14ac:dyDescent="0.25">
      <c r="C172" s="2" t="s">
        <v>3270</v>
      </c>
      <c r="D172" s="1" t="s">
        <v>3374</v>
      </c>
    </row>
    <row r="173" spans="2:4" x14ac:dyDescent="0.25">
      <c r="C173" s="2" t="s">
        <v>3271</v>
      </c>
      <c r="D173" s="1" t="s">
        <v>3374</v>
      </c>
    </row>
    <row r="174" spans="2:4" x14ac:dyDescent="0.25">
      <c r="C174" s="2" t="s">
        <v>3272</v>
      </c>
      <c r="D174" s="1" t="s">
        <v>3374</v>
      </c>
    </row>
    <row r="175" spans="2:4" x14ac:dyDescent="0.25">
      <c r="C175" s="2" t="s">
        <v>3273</v>
      </c>
      <c r="D175" s="1" t="s">
        <v>3374</v>
      </c>
    </row>
    <row r="176" spans="2:4" x14ac:dyDescent="0.25">
      <c r="C176" s="2" t="s">
        <v>3274</v>
      </c>
      <c r="D176" s="1" t="s">
        <v>3374</v>
      </c>
    </row>
    <row r="177" spans="3:4" x14ac:dyDescent="0.25">
      <c r="C177" s="2" t="s">
        <v>3275</v>
      </c>
      <c r="D177" s="1" t="s">
        <v>3374</v>
      </c>
    </row>
    <row r="178" spans="3:4" x14ac:dyDescent="0.25">
      <c r="C178" s="2" t="s">
        <v>3276</v>
      </c>
      <c r="D178" s="1" t="s">
        <v>3374</v>
      </c>
    </row>
    <row r="179" spans="3:4" x14ac:dyDescent="0.25">
      <c r="C179" s="2" t="s">
        <v>3277</v>
      </c>
      <c r="D179" s="1" t="s">
        <v>3374</v>
      </c>
    </row>
    <row r="180" spans="3:4" x14ac:dyDescent="0.25">
      <c r="D180" s="1" t="s">
        <v>3374</v>
      </c>
    </row>
    <row r="182" spans="3:4" x14ac:dyDescent="0.25">
      <c r="C182" s="2" t="s">
        <v>3389</v>
      </c>
      <c r="D182" s="1" t="s">
        <v>3374</v>
      </c>
    </row>
    <row r="183" spans="3:4" x14ac:dyDescent="0.25">
      <c r="C183" s="2" t="s">
        <v>3278</v>
      </c>
      <c r="D183" s="1" t="s">
        <v>3374</v>
      </c>
    </row>
    <row r="184" spans="3:4" x14ac:dyDescent="0.25">
      <c r="C184" s="2" t="s">
        <v>3279</v>
      </c>
      <c r="D184" s="1" t="s">
        <v>3374</v>
      </c>
    </row>
    <row r="185" spans="3:4" x14ac:dyDescent="0.25">
      <c r="C185" s="2" t="s">
        <v>3280</v>
      </c>
      <c r="D185" s="1" t="s">
        <v>3374</v>
      </c>
    </row>
    <row r="186" spans="3:4" x14ac:dyDescent="0.25">
      <c r="C186" s="2" t="s">
        <v>3281</v>
      </c>
      <c r="D186" s="1" t="s">
        <v>3374</v>
      </c>
    </row>
    <row r="187" spans="3:4" x14ac:dyDescent="0.25">
      <c r="C187" s="2" t="s">
        <v>3282</v>
      </c>
      <c r="D187" s="1" t="s">
        <v>3374</v>
      </c>
    </row>
    <row r="188" spans="3:4" x14ac:dyDescent="0.25">
      <c r="C188" s="2" t="s">
        <v>3283</v>
      </c>
      <c r="D188" s="1" t="s">
        <v>3374</v>
      </c>
    </row>
    <row r="189" spans="3:4" x14ac:dyDescent="0.25">
      <c r="C189" s="2" t="s">
        <v>3284</v>
      </c>
      <c r="D189" s="1" t="s">
        <v>3374</v>
      </c>
    </row>
    <row r="190" spans="3:4" x14ac:dyDescent="0.25">
      <c r="C190" s="2" t="s">
        <v>3285</v>
      </c>
      <c r="D190" s="1" t="s">
        <v>3374</v>
      </c>
    </row>
    <row r="191" spans="3:4" x14ac:dyDescent="0.25">
      <c r="C191" s="2" t="s">
        <v>3286</v>
      </c>
      <c r="D191" s="1" t="s">
        <v>3374</v>
      </c>
    </row>
    <row r="192" spans="3:4" x14ac:dyDescent="0.25">
      <c r="C192" s="2" t="s">
        <v>3287</v>
      </c>
      <c r="D192" s="1" t="s">
        <v>3374</v>
      </c>
    </row>
    <row r="193" spans="3:4" x14ac:dyDescent="0.25">
      <c r="C193" s="2" t="s">
        <v>3288</v>
      </c>
      <c r="D193" s="1" t="s">
        <v>3374</v>
      </c>
    </row>
    <row r="194" spans="3:4" x14ac:dyDescent="0.25">
      <c r="C194" s="2" t="s">
        <v>3289</v>
      </c>
      <c r="D194" s="1" t="s">
        <v>3374</v>
      </c>
    </row>
    <row r="196" spans="3:4" x14ac:dyDescent="0.25">
      <c r="C196" s="2" t="s">
        <v>3390</v>
      </c>
      <c r="D196" s="1" t="s">
        <v>3374</v>
      </c>
    </row>
    <row r="197" spans="3:4" x14ac:dyDescent="0.25">
      <c r="C197" s="2" t="s">
        <v>3290</v>
      </c>
      <c r="D197" s="1" t="s">
        <v>3374</v>
      </c>
    </row>
    <row r="198" spans="3:4" x14ac:dyDescent="0.25">
      <c r="C198" s="2" t="s">
        <v>3291</v>
      </c>
      <c r="D198" s="1" t="s">
        <v>3374</v>
      </c>
    </row>
    <row r="199" spans="3:4" x14ac:dyDescent="0.25">
      <c r="C199" s="2" t="s">
        <v>3292</v>
      </c>
      <c r="D199" s="1" t="s">
        <v>3374</v>
      </c>
    </row>
    <row r="200" spans="3:4" x14ac:dyDescent="0.25">
      <c r="C200" s="2" t="s">
        <v>3293</v>
      </c>
      <c r="D200" s="1" t="s">
        <v>3374</v>
      </c>
    </row>
    <row r="201" spans="3:4" x14ac:dyDescent="0.25">
      <c r="C201" s="2" t="s">
        <v>3294</v>
      </c>
      <c r="D201" s="1" t="s">
        <v>3374</v>
      </c>
    </row>
    <row r="202" spans="3:4" x14ac:dyDescent="0.25">
      <c r="C202" s="2" t="s">
        <v>3295</v>
      </c>
      <c r="D202" s="1" t="s">
        <v>3374</v>
      </c>
    </row>
    <row r="203" spans="3:4" x14ac:dyDescent="0.25">
      <c r="C203" s="2" t="s">
        <v>3296</v>
      </c>
      <c r="D203" s="1" t="s">
        <v>3374</v>
      </c>
    </row>
    <row r="204" spans="3:4" x14ac:dyDescent="0.25">
      <c r="C204" s="2" t="s">
        <v>3297</v>
      </c>
      <c r="D204" s="1" t="s">
        <v>3374</v>
      </c>
    </row>
    <row r="205" spans="3:4" x14ac:dyDescent="0.25">
      <c r="C205" s="2" t="s">
        <v>3298</v>
      </c>
      <c r="D205" s="1" t="s">
        <v>3374</v>
      </c>
    </row>
    <row r="206" spans="3:4" x14ac:dyDescent="0.25">
      <c r="C206" s="2" t="s">
        <v>3299</v>
      </c>
      <c r="D206" s="1" t="s">
        <v>3374</v>
      </c>
    </row>
    <row r="207" spans="3:4" x14ac:dyDescent="0.25">
      <c r="C207" s="2" t="s">
        <v>3300</v>
      </c>
      <c r="D207" s="1" t="s">
        <v>3374</v>
      </c>
    </row>
    <row r="208" spans="3:4" x14ac:dyDescent="0.25">
      <c r="C208" s="2" t="s">
        <v>3301</v>
      </c>
      <c r="D208" s="1" t="s">
        <v>3374</v>
      </c>
    </row>
    <row r="210" spans="3:11" x14ac:dyDescent="0.25">
      <c r="C210" s="2" t="s">
        <v>3391</v>
      </c>
      <c r="D210" s="1" t="s">
        <v>3374</v>
      </c>
    </row>
    <row r="211" spans="3:11" x14ac:dyDescent="0.25">
      <c r="C211" s="2" t="s">
        <v>3302</v>
      </c>
      <c r="D211" s="1" t="s">
        <v>3374</v>
      </c>
    </row>
    <row r="212" spans="3:11" x14ac:dyDescent="0.25">
      <c r="C212" s="2" t="s">
        <v>3303</v>
      </c>
      <c r="D212" s="1" t="s">
        <v>3374</v>
      </c>
    </row>
    <row r="213" spans="3:11" x14ac:dyDescent="0.25">
      <c r="C213" s="2" t="s">
        <v>3304</v>
      </c>
      <c r="D213" s="1" t="s">
        <v>3374</v>
      </c>
    </row>
    <row r="214" spans="3:11" x14ac:dyDescent="0.25">
      <c r="C214" s="2" t="s">
        <v>3305</v>
      </c>
      <c r="D214" s="1" t="s">
        <v>3374</v>
      </c>
    </row>
    <row r="215" spans="3:11" x14ac:dyDescent="0.25">
      <c r="C215" s="2" t="s">
        <v>3306</v>
      </c>
      <c r="D215" s="1" t="s">
        <v>3374</v>
      </c>
    </row>
    <row r="216" spans="3:11" x14ac:dyDescent="0.25">
      <c r="C216" s="2" t="s">
        <v>3307</v>
      </c>
      <c r="D216" s="1" t="s">
        <v>3374</v>
      </c>
    </row>
    <row r="217" spans="3:11" x14ac:dyDescent="0.25">
      <c r="C217" s="2" t="s">
        <v>3308</v>
      </c>
      <c r="D217" s="1" t="s">
        <v>3374</v>
      </c>
    </row>
    <row r="218" spans="3:11" x14ac:dyDescent="0.25">
      <c r="C218" s="2" t="s">
        <v>3309</v>
      </c>
      <c r="D218" s="1" t="s">
        <v>3374</v>
      </c>
    </row>
    <row r="219" spans="3:11" x14ac:dyDescent="0.25">
      <c r="C219" s="2" t="s">
        <v>3310</v>
      </c>
      <c r="D219" s="1" t="s">
        <v>3374</v>
      </c>
    </row>
    <row r="220" spans="3:11" x14ac:dyDescent="0.25">
      <c r="C220" s="2" t="s">
        <v>3311</v>
      </c>
      <c r="D220" s="1" t="s">
        <v>3374</v>
      </c>
    </row>
    <row r="221" spans="3:11" x14ac:dyDescent="0.25">
      <c r="C221" s="2" t="s">
        <v>3312</v>
      </c>
      <c r="D221" s="1" t="s">
        <v>3374</v>
      </c>
    </row>
    <row r="222" spans="3:11" x14ac:dyDescent="0.25">
      <c r="C222" s="2" t="s">
        <v>3313</v>
      </c>
      <c r="D222" s="1" t="s">
        <v>3374</v>
      </c>
      <c r="K222" t="s">
        <v>3015</v>
      </c>
    </row>
    <row r="223" spans="3:11" x14ac:dyDescent="0.25">
      <c r="E223" s="2"/>
    </row>
    <row r="224" spans="3:11" x14ac:dyDescent="0.25">
      <c r="E224" s="2"/>
    </row>
    <row r="225" spans="3:5" x14ac:dyDescent="0.25">
      <c r="C225" s="2" t="s">
        <v>3392</v>
      </c>
      <c r="D225" s="1" t="s">
        <v>3375</v>
      </c>
      <c r="E225" s="2"/>
    </row>
    <row r="226" spans="3:5" x14ac:dyDescent="0.25">
      <c r="C226" s="2" t="s">
        <v>3314</v>
      </c>
      <c r="D226" s="1" t="s">
        <v>3375</v>
      </c>
      <c r="E226" s="2"/>
    </row>
    <row r="227" spans="3:5" x14ac:dyDescent="0.25">
      <c r="C227" s="2" t="s">
        <v>3315</v>
      </c>
      <c r="D227" s="1" t="s">
        <v>3375</v>
      </c>
      <c r="E227" s="2"/>
    </row>
    <row r="228" spans="3:5" x14ac:dyDescent="0.25">
      <c r="C228" s="2" t="s">
        <v>3316</v>
      </c>
      <c r="D228" s="1" t="s">
        <v>3375</v>
      </c>
      <c r="E228" s="2"/>
    </row>
    <row r="229" spans="3:5" x14ac:dyDescent="0.25">
      <c r="C229" s="2" t="s">
        <v>3317</v>
      </c>
      <c r="D229" s="1" t="s">
        <v>3375</v>
      </c>
      <c r="E229" s="2"/>
    </row>
    <row r="230" spans="3:5" x14ac:dyDescent="0.25">
      <c r="C230" s="2" t="s">
        <v>3318</v>
      </c>
      <c r="D230" s="1" t="s">
        <v>3375</v>
      </c>
      <c r="E230" s="2"/>
    </row>
    <row r="231" spans="3:5" x14ac:dyDescent="0.25">
      <c r="C231" s="2" t="s">
        <v>3319</v>
      </c>
      <c r="D231" s="1" t="s">
        <v>3375</v>
      </c>
      <c r="E231" s="2"/>
    </row>
    <row r="232" spans="3:5" x14ac:dyDescent="0.25">
      <c r="C232" s="2" t="s">
        <v>3320</v>
      </c>
      <c r="D232" s="1" t="s">
        <v>3375</v>
      </c>
      <c r="E232" s="2"/>
    </row>
    <row r="233" spans="3:5" x14ac:dyDescent="0.25">
      <c r="C233" s="2" t="s">
        <v>3321</v>
      </c>
      <c r="D233" s="1" t="s">
        <v>3375</v>
      </c>
      <c r="E233" s="2"/>
    </row>
    <row r="234" spans="3:5" x14ac:dyDescent="0.25">
      <c r="C234" s="2" t="s">
        <v>3322</v>
      </c>
      <c r="D234" s="1" t="s">
        <v>3375</v>
      </c>
      <c r="E234" s="2"/>
    </row>
    <row r="235" spans="3:5" x14ac:dyDescent="0.25">
      <c r="C235" s="2" t="s">
        <v>3323</v>
      </c>
      <c r="D235" s="1" t="s">
        <v>3375</v>
      </c>
      <c r="E235" s="2"/>
    </row>
    <row r="236" spans="3:5" x14ac:dyDescent="0.25">
      <c r="C236" s="2" t="s">
        <v>3324</v>
      </c>
      <c r="D236" s="1" t="s">
        <v>3375</v>
      </c>
      <c r="E236" s="2"/>
    </row>
    <row r="237" spans="3:5" x14ac:dyDescent="0.25">
      <c r="C237" s="2" t="s">
        <v>3325</v>
      </c>
      <c r="D237" s="1" t="s">
        <v>3375</v>
      </c>
      <c r="E237" s="2"/>
    </row>
    <row r="238" spans="3:5" x14ac:dyDescent="0.25">
      <c r="E238" s="2"/>
    </row>
    <row r="239" spans="3:5" x14ac:dyDescent="0.25">
      <c r="C239" s="2" t="s">
        <v>3393</v>
      </c>
      <c r="D239" s="1" t="s">
        <v>3375</v>
      </c>
      <c r="E239" s="2"/>
    </row>
    <row r="240" spans="3:5" x14ac:dyDescent="0.25">
      <c r="C240" s="2" t="s">
        <v>3326</v>
      </c>
      <c r="D240" s="1" t="s">
        <v>3375</v>
      </c>
      <c r="E240" s="2"/>
    </row>
    <row r="241" spans="3:5" x14ac:dyDescent="0.25">
      <c r="C241" s="2" t="s">
        <v>3327</v>
      </c>
      <c r="D241" s="1" t="s">
        <v>3375</v>
      </c>
      <c r="E241" s="2"/>
    </row>
    <row r="242" spans="3:5" x14ac:dyDescent="0.25">
      <c r="C242" s="2" t="s">
        <v>3328</v>
      </c>
      <c r="D242" s="1" t="s">
        <v>3375</v>
      </c>
      <c r="E242" s="2"/>
    </row>
    <row r="243" spans="3:5" x14ac:dyDescent="0.25">
      <c r="C243" s="2" t="s">
        <v>3329</v>
      </c>
      <c r="D243" s="1" t="s">
        <v>3375</v>
      </c>
      <c r="E243" s="2"/>
    </row>
    <row r="244" spans="3:5" x14ac:dyDescent="0.25">
      <c r="C244" s="2" t="s">
        <v>3330</v>
      </c>
      <c r="D244" s="1" t="s">
        <v>3375</v>
      </c>
      <c r="E244" s="2"/>
    </row>
    <row r="245" spans="3:5" x14ac:dyDescent="0.25">
      <c r="C245" s="2" t="s">
        <v>3331</v>
      </c>
      <c r="D245" s="1" t="s">
        <v>3375</v>
      </c>
      <c r="E245" s="2"/>
    </row>
    <row r="246" spans="3:5" x14ac:dyDescent="0.25">
      <c r="C246" s="2" t="s">
        <v>3332</v>
      </c>
      <c r="D246" s="1" t="s">
        <v>3375</v>
      </c>
      <c r="E246" s="2"/>
    </row>
    <row r="247" spans="3:5" x14ac:dyDescent="0.25">
      <c r="C247" s="2" t="s">
        <v>3333</v>
      </c>
      <c r="D247" s="1" t="s">
        <v>3375</v>
      </c>
      <c r="E247" s="2"/>
    </row>
    <row r="248" spans="3:5" x14ac:dyDescent="0.25">
      <c r="C248" s="2" t="s">
        <v>3334</v>
      </c>
      <c r="D248" s="1" t="s">
        <v>3375</v>
      </c>
      <c r="E248" s="2"/>
    </row>
    <row r="249" spans="3:5" x14ac:dyDescent="0.25">
      <c r="C249" s="2" t="s">
        <v>3335</v>
      </c>
      <c r="D249" s="1" t="s">
        <v>3375</v>
      </c>
      <c r="E249" s="2"/>
    </row>
    <row r="250" spans="3:5" x14ac:dyDescent="0.25">
      <c r="C250" s="2" t="s">
        <v>3336</v>
      </c>
      <c r="D250" s="1" t="s">
        <v>3375</v>
      </c>
      <c r="E250" s="2"/>
    </row>
    <row r="251" spans="3:5" x14ac:dyDescent="0.25">
      <c r="C251" s="2" t="s">
        <v>3337</v>
      </c>
      <c r="D251" s="1" t="s">
        <v>3375</v>
      </c>
    </row>
    <row r="253" spans="3:5" x14ac:dyDescent="0.25">
      <c r="C253" s="2" t="s">
        <v>3394</v>
      </c>
      <c r="D253" s="1" t="s">
        <v>3375</v>
      </c>
    </row>
    <row r="254" spans="3:5" x14ac:dyDescent="0.25">
      <c r="C254" s="2" t="s">
        <v>3338</v>
      </c>
      <c r="D254" s="1" t="s">
        <v>3375</v>
      </c>
    </row>
    <row r="255" spans="3:5" x14ac:dyDescent="0.25">
      <c r="C255" s="2" t="s">
        <v>3339</v>
      </c>
      <c r="D255" s="1" t="s">
        <v>3375</v>
      </c>
    </row>
    <row r="256" spans="3:5" x14ac:dyDescent="0.25">
      <c r="C256" s="2" t="s">
        <v>3340</v>
      </c>
      <c r="D256" s="1" t="s">
        <v>3375</v>
      </c>
    </row>
    <row r="257" spans="3:4" x14ac:dyDescent="0.25">
      <c r="C257" s="2" t="s">
        <v>3341</v>
      </c>
      <c r="D257" s="1" t="s">
        <v>3375</v>
      </c>
    </row>
    <row r="258" spans="3:4" x14ac:dyDescent="0.25">
      <c r="C258" s="2" t="s">
        <v>3342</v>
      </c>
      <c r="D258" s="1" t="s">
        <v>3375</v>
      </c>
    </row>
    <row r="259" spans="3:4" x14ac:dyDescent="0.25">
      <c r="C259" s="2" t="s">
        <v>3343</v>
      </c>
      <c r="D259" s="1" t="s">
        <v>3375</v>
      </c>
    </row>
    <row r="260" spans="3:4" x14ac:dyDescent="0.25">
      <c r="C260" s="2" t="s">
        <v>3344</v>
      </c>
      <c r="D260" s="1" t="s">
        <v>3375</v>
      </c>
    </row>
    <row r="261" spans="3:4" x14ac:dyDescent="0.25">
      <c r="C261" s="2" t="s">
        <v>3345</v>
      </c>
      <c r="D261" s="1" t="s">
        <v>3375</v>
      </c>
    </row>
    <row r="262" spans="3:4" x14ac:dyDescent="0.25">
      <c r="C262" s="2" t="s">
        <v>3346</v>
      </c>
      <c r="D262" s="1" t="s">
        <v>3375</v>
      </c>
    </row>
    <row r="263" spans="3:4" x14ac:dyDescent="0.25">
      <c r="C263" s="2" t="s">
        <v>3347</v>
      </c>
      <c r="D263" s="1" t="s">
        <v>3375</v>
      </c>
    </row>
    <row r="264" spans="3:4" x14ac:dyDescent="0.25">
      <c r="C264" s="2" t="s">
        <v>3348</v>
      </c>
      <c r="D264" s="1" t="s">
        <v>3375</v>
      </c>
    </row>
    <row r="265" spans="3:4" x14ac:dyDescent="0.25">
      <c r="C265" s="2" t="s">
        <v>3349</v>
      </c>
      <c r="D265" s="1" t="s">
        <v>3375</v>
      </c>
    </row>
    <row r="266" spans="3:4" x14ac:dyDescent="0.25">
      <c r="D266" s="8"/>
    </row>
    <row r="267" spans="3:4" x14ac:dyDescent="0.25">
      <c r="C267" s="2" t="s">
        <v>3395</v>
      </c>
      <c r="D267" s="1" t="s">
        <v>3375</v>
      </c>
    </row>
    <row r="268" spans="3:4" x14ac:dyDescent="0.25">
      <c r="C268" s="2" t="s">
        <v>3350</v>
      </c>
      <c r="D268" s="1" t="s">
        <v>3375</v>
      </c>
    </row>
    <row r="269" spans="3:4" x14ac:dyDescent="0.25">
      <c r="C269" s="2" t="s">
        <v>3351</v>
      </c>
      <c r="D269" s="1" t="s">
        <v>3375</v>
      </c>
    </row>
    <row r="270" spans="3:4" x14ac:dyDescent="0.25">
      <c r="C270" s="2" t="s">
        <v>3352</v>
      </c>
      <c r="D270" s="1" t="s">
        <v>3375</v>
      </c>
    </row>
    <row r="271" spans="3:4" x14ac:dyDescent="0.25">
      <c r="C271" s="2" t="s">
        <v>3353</v>
      </c>
      <c r="D271" s="1" t="s">
        <v>3375</v>
      </c>
    </row>
    <row r="272" spans="3:4" x14ac:dyDescent="0.25">
      <c r="C272" s="2" t="s">
        <v>3354</v>
      </c>
      <c r="D272" s="1" t="s">
        <v>3375</v>
      </c>
    </row>
    <row r="273" spans="3:4" x14ac:dyDescent="0.25">
      <c r="C273" s="2" t="s">
        <v>3355</v>
      </c>
      <c r="D273" s="1" t="s">
        <v>3375</v>
      </c>
    </row>
    <row r="274" spans="3:4" x14ac:dyDescent="0.25">
      <c r="C274" s="2" t="s">
        <v>3356</v>
      </c>
      <c r="D274" s="1" t="s">
        <v>3375</v>
      </c>
    </row>
    <row r="275" spans="3:4" x14ac:dyDescent="0.25">
      <c r="C275" s="2" t="s">
        <v>3357</v>
      </c>
      <c r="D275" s="1" t="s">
        <v>3375</v>
      </c>
    </row>
    <row r="276" spans="3:4" x14ac:dyDescent="0.25">
      <c r="C276" s="2" t="s">
        <v>3358</v>
      </c>
      <c r="D276" s="1" t="s">
        <v>3375</v>
      </c>
    </row>
    <row r="277" spans="3:4" x14ac:dyDescent="0.25">
      <c r="C277" s="2" t="s">
        <v>3359</v>
      </c>
      <c r="D277" s="1" t="s">
        <v>3375</v>
      </c>
    </row>
    <row r="278" spans="3:4" x14ac:dyDescent="0.25">
      <c r="C278" s="2" t="s">
        <v>3360</v>
      </c>
      <c r="D278" s="1" t="s">
        <v>3375</v>
      </c>
    </row>
    <row r="279" spans="3:4" x14ac:dyDescent="0.25">
      <c r="C279" s="2" t="s">
        <v>3361</v>
      </c>
      <c r="D279" s="1" t="s">
        <v>3375</v>
      </c>
    </row>
    <row r="281" spans="3:4" x14ac:dyDescent="0.25">
      <c r="C281" s="2" t="s">
        <v>3396</v>
      </c>
      <c r="D281" s="1" t="s">
        <v>3375</v>
      </c>
    </row>
    <row r="282" spans="3:4" x14ac:dyDescent="0.25">
      <c r="C282" s="2" t="s">
        <v>3362</v>
      </c>
      <c r="D282" s="1" t="s">
        <v>3375</v>
      </c>
    </row>
    <row r="283" spans="3:4" x14ac:dyDescent="0.25">
      <c r="C283" s="2" t="s">
        <v>3363</v>
      </c>
      <c r="D283" s="1" t="s">
        <v>3375</v>
      </c>
    </row>
    <row r="284" spans="3:4" x14ac:dyDescent="0.25">
      <c r="C284" s="2" t="s">
        <v>3364</v>
      </c>
      <c r="D284" s="1" t="s">
        <v>3375</v>
      </c>
    </row>
    <row r="285" spans="3:4" x14ac:dyDescent="0.25">
      <c r="C285" s="2" t="s">
        <v>3365</v>
      </c>
      <c r="D285" s="1" t="s">
        <v>3375</v>
      </c>
    </row>
    <row r="286" spans="3:4" x14ac:dyDescent="0.25">
      <c r="C286" s="2" t="s">
        <v>3366</v>
      </c>
      <c r="D286" s="1" t="s">
        <v>3375</v>
      </c>
    </row>
    <row r="287" spans="3:4" x14ac:dyDescent="0.25">
      <c r="C287" s="2" t="s">
        <v>3367</v>
      </c>
      <c r="D287" s="1" t="s">
        <v>3375</v>
      </c>
    </row>
    <row r="288" spans="3:4" x14ac:dyDescent="0.25">
      <c r="C288" s="2" t="s">
        <v>3368</v>
      </c>
      <c r="D288" s="1" t="s">
        <v>3375</v>
      </c>
    </row>
    <row r="289" spans="2:4" x14ac:dyDescent="0.25">
      <c r="C289" s="2" t="s">
        <v>3369</v>
      </c>
      <c r="D289" s="1" t="s">
        <v>3375</v>
      </c>
    </row>
    <row r="290" spans="2:4" x14ac:dyDescent="0.25">
      <c r="C290" s="2" t="s">
        <v>3370</v>
      </c>
      <c r="D290" s="1" t="s">
        <v>3375</v>
      </c>
    </row>
    <row r="291" spans="2:4" x14ac:dyDescent="0.25">
      <c r="C291" s="2" t="s">
        <v>3371</v>
      </c>
      <c r="D291" s="1" t="s">
        <v>3375</v>
      </c>
    </row>
    <row r="292" spans="2:4" x14ac:dyDescent="0.25">
      <c r="C292" s="2" t="s">
        <v>3372</v>
      </c>
      <c r="D292" s="1" t="s">
        <v>3375</v>
      </c>
    </row>
    <row r="293" spans="2:4" x14ac:dyDescent="0.25">
      <c r="C293" s="2" t="s">
        <v>3373</v>
      </c>
      <c r="D293" s="1" t="s">
        <v>3375</v>
      </c>
    </row>
    <row r="295" spans="2:4" x14ac:dyDescent="0.25">
      <c r="C295" s="1"/>
    </row>
    <row r="296" spans="2:4" x14ac:dyDescent="0.25">
      <c r="B296" s="2"/>
    </row>
    <row r="297" spans="2:4" x14ac:dyDescent="0.25">
      <c r="B297" s="2"/>
    </row>
    <row r="305" spans="2:3" x14ac:dyDescent="0.25">
      <c r="B305" s="2"/>
    </row>
    <row r="306" spans="2:3" x14ac:dyDescent="0.25">
      <c r="B306" s="2"/>
    </row>
    <row r="308" spans="2:3" x14ac:dyDescent="0.25">
      <c r="B308" s="2"/>
      <c r="C308" s="15"/>
    </row>
    <row r="309" spans="2:3" x14ac:dyDescent="0.25">
      <c r="B309" s="2"/>
      <c r="C309" s="15"/>
    </row>
    <row r="310" spans="2:3" x14ac:dyDescent="0.25">
      <c r="B310" s="2"/>
      <c r="C310" s="15"/>
    </row>
    <row r="311" spans="2:3" x14ac:dyDescent="0.25">
      <c r="B311" s="2"/>
      <c r="C311" s="15"/>
    </row>
    <row r="312" spans="2:3" x14ac:dyDescent="0.25">
      <c r="B312" s="2"/>
      <c r="C312" s="15"/>
    </row>
    <row r="313" spans="2:3" x14ac:dyDescent="0.25">
      <c r="B313" s="2"/>
      <c r="C313" s="15"/>
    </row>
    <row r="314" spans="2:3" x14ac:dyDescent="0.25">
      <c r="B314" s="2"/>
      <c r="C314" s="15"/>
    </row>
    <row r="315" spans="2:3" x14ac:dyDescent="0.25">
      <c r="B315" s="2"/>
      <c r="C315" s="15"/>
    </row>
    <row r="316" spans="2:3" x14ac:dyDescent="0.25">
      <c r="B316" s="2"/>
      <c r="C316" s="15"/>
    </row>
    <row r="317" spans="2:3" x14ac:dyDescent="0.25">
      <c r="B317" s="2"/>
      <c r="C317" s="15"/>
    </row>
    <row r="318" spans="2:3" x14ac:dyDescent="0.25">
      <c r="B318" s="2"/>
      <c r="C318" s="15"/>
    </row>
    <row r="319" spans="2:3" x14ac:dyDescent="0.25">
      <c r="B319" s="2"/>
    </row>
    <row r="320" spans="2:3" x14ac:dyDescent="0.25">
      <c r="B320" s="2"/>
    </row>
    <row r="321" spans="2:3" x14ac:dyDescent="0.25">
      <c r="B321" s="2"/>
    </row>
    <row r="322" spans="2:3" x14ac:dyDescent="0.25">
      <c r="B322" s="2"/>
    </row>
    <row r="323" spans="2:3" x14ac:dyDescent="0.25">
      <c r="B323" s="2"/>
    </row>
    <row r="324" spans="2:3" x14ac:dyDescent="0.25">
      <c r="B324" s="2"/>
      <c r="C324" s="2" t="s">
        <v>3575</v>
      </c>
    </row>
    <row r="325" spans="2:3" x14ac:dyDescent="0.25">
      <c r="B325" s="2"/>
    </row>
    <row r="326" spans="2:3" x14ac:dyDescent="0.25">
      <c r="B326" s="2"/>
    </row>
    <row r="327" spans="2:3" x14ac:dyDescent="0.25">
      <c r="B327" s="2"/>
    </row>
    <row r="328" spans="2:3" x14ac:dyDescent="0.25">
      <c r="B328" s="2"/>
    </row>
    <row r="329" spans="2:3" x14ac:dyDescent="0.25">
      <c r="B329" s="2"/>
    </row>
    <row r="330" spans="2:3" x14ac:dyDescent="0.25">
      <c r="B330" s="2"/>
    </row>
    <row r="331" spans="2:3" x14ac:dyDescent="0.25">
      <c r="B331" s="2"/>
    </row>
    <row r="332" spans="2:3" x14ac:dyDescent="0.25">
      <c r="B332" s="2"/>
    </row>
    <row r="333" spans="2:3" x14ac:dyDescent="0.25">
      <c r="B333" s="2"/>
    </row>
    <row r="334" spans="2:3" x14ac:dyDescent="0.25">
      <c r="B334" s="2"/>
    </row>
    <row r="335" spans="2:3" x14ac:dyDescent="0.25">
      <c r="B335" s="2"/>
    </row>
    <row r="336" spans="2:3" x14ac:dyDescent="0.25">
      <c r="B336" s="2"/>
    </row>
    <row r="338" spans="2:2" x14ac:dyDescent="0.25">
      <c r="B338" s="2"/>
    </row>
    <row r="339" spans="2:2" x14ac:dyDescent="0.25">
      <c r="B339" s="2"/>
    </row>
    <row r="340" spans="2:2" x14ac:dyDescent="0.25">
      <c r="B340" s="2"/>
    </row>
    <row r="341" spans="2:2" x14ac:dyDescent="0.25">
      <c r="B341" s="2"/>
    </row>
    <row r="342" spans="2:2" x14ac:dyDescent="0.25">
      <c r="B342" s="2"/>
    </row>
    <row r="343" spans="2:2" x14ac:dyDescent="0.25">
      <c r="B343" s="2"/>
    </row>
    <row r="345" spans="2:2" x14ac:dyDescent="0.25">
      <c r="B345" s="2"/>
    </row>
    <row r="346" spans="2:2" x14ac:dyDescent="0.25">
      <c r="B346" s="2"/>
    </row>
    <row r="347" spans="2:2" x14ac:dyDescent="0.25">
      <c r="B347" s="2"/>
    </row>
    <row r="348" spans="2:2" x14ac:dyDescent="0.25">
      <c r="B348" s="2"/>
    </row>
    <row r="349" spans="2:2" x14ac:dyDescent="0.25">
      <c r="B349" s="2"/>
    </row>
    <row r="350" spans="2:2" x14ac:dyDescent="0.25">
      <c r="B350" s="2"/>
    </row>
  </sheetData>
  <phoneticPr fontId="4" type="noConversion"/>
  <pageMargins left="0.7" right="0.7" top="0.75" bottom="0.75" header="0.3" footer="0.3"/>
  <pageSetup paperSize="17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Sumith Kumar</dc:creator>
  <cp:lastModifiedBy>ASUS</cp:lastModifiedBy>
  <dcterms:created xsi:type="dcterms:W3CDTF">2025-12-29T05:53:29Z</dcterms:created>
  <dcterms:modified xsi:type="dcterms:W3CDTF">2026-06-25T13:19:50Z</dcterms:modified>
</cp:coreProperties>
</file>